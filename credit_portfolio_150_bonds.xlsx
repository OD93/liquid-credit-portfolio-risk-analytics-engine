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7"/>
  <workbookPr defaultThemeVersion="202300"/>
  <mc:AlternateContent xmlns:mc="http://schemas.openxmlformats.org/markup-compatibility/2006">
    <mc:Choice Requires="x15">
      <x15ac:absPath xmlns:x15ac="http://schemas.microsoft.com/office/spreadsheetml/2010/11/ac" url="/Users/krishnakumarjena/Downloads/CFI/Front-end Liquid Market Risk Modelling/"/>
    </mc:Choice>
  </mc:AlternateContent>
  <xr:revisionPtr revIDLastSave="0" documentId="13_ncr:1_{8CE0F817-EB02-714D-9AA9-7335A201264D}" xr6:coauthVersionLast="47" xr6:coauthVersionMax="47" xr10:uidLastSave="{00000000-0000-0000-0000-000000000000}"/>
  <bookViews>
    <workbookView xWindow="0" yWindow="600" windowWidth="28800" windowHeight="17400" activeTab="1" xr2:uid="{A4F97D5F-6996-B242-993A-85FF2D0C87E5}"/>
  </bookViews>
  <sheets>
    <sheet name="credit_portfolio_150_bonds" sheetId="1" r:id="rId1"/>
    <sheet name="Sheet1" sheetId="2" r:id="rId2"/>
  </sheets>
  <definedNames>
    <definedName name="_xlnm._FilterDatabase" localSheetId="0" hidden="1">credit_portfolio_150_bonds!$A$1:$Q$151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alcChain>
</file>

<file path=xl/sharedStrings.xml><?xml version="1.0" encoding="utf-8"?>
<sst xmlns="http://schemas.openxmlformats.org/spreadsheetml/2006/main" count="1149" uniqueCount="565">
  <si>
    <t>Bond_ID</t>
  </si>
  <si>
    <t>Issuer</t>
  </si>
  <si>
    <t>Sector</t>
  </si>
  <si>
    <t>Industry</t>
  </si>
  <si>
    <t>Rating</t>
  </si>
  <si>
    <t>Country</t>
  </si>
  <si>
    <t>Position</t>
  </si>
  <si>
    <t>Price</t>
  </si>
  <si>
    <t>Duration</t>
  </si>
  <si>
    <t>Spread_bps</t>
  </si>
  <si>
    <t>Yield</t>
  </si>
  <si>
    <t>Maturity_Years</t>
  </si>
  <si>
    <t>Daily_Return</t>
  </si>
  <si>
    <t>Benchmark_Return</t>
  </si>
  <si>
    <t>Market_Value</t>
  </si>
  <si>
    <t>Portfolio_Weight</t>
  </si>
  <si>
    <t>Benchmark_Weight</t>
  </si>
  <si>
    <t>BOND_0001</t>
  </si>
  <si>
    <t>Standard Industries</t>
  </si>
  <si>
    <t>Technology</t>
  </si>
  <si>
    <t>Semiconductors</t>
  </si>
  <si>
    <t>BBB</t>
  </si>
  <si>
    <t>US</t>
  </si>
  <si>
    <t>BOND_0002</t>
  </si>
  <si>
    <t>Premier Manufacturing</t>
  </si>
  <si>
    <t>Consumer</t>
  </si>
  <si>
    <t>Consumer Products</t>
  </si>
  <si>
    <t>AA</t>
  </si>
  <si>
    <t>Japan</t>
  </si>
  <si>
    <t>BOND_0003</t>
  </si>
  <si>
    <t>Vanguard Inc</t>
  </si>
  <si>
    <t>Hardware</t>
  </si>
  <si>
    <t>BB</t>
  </si>
  <si>
    <t>Australia</t>
  </si>
  <si>
    <t>BOND_0004</t>
  </si>
  <si>
    <t>Global Enterprises</t>
  </si>
  <si>
    <t>Industrials</t>
  </si>
  <si>
    <t>Aerospace</t>
  </si>
  <si>
    <t>UK</t>
  </si>
  <si>
    <t>BOND_0005</t>
  </si>
  <si>
    <t>Horizon Capital</t>
  </si>
  <si>
    <t>Energy</t>
  </si>
  <si>
    <t>Midstream</t>
  </si>
  <si>
    <t>BOND_0006</t>
  </si>
  <si>
    <t>Consolidated Energy</t>
  </si>
  <si>
    <t>BOND_0007</t>
  </si>
  <si>
    <t>National International</t>
  </si>
  <si>
    <t>A</t>
  </si>
  <si>
    <t>Germany</t>
  </si>
  <si>
    <t>BOND_0008</t>
  </si>
  <si>
    <t>Zenith Industries</t>
  </si>
  <si>
    <t>B</t>
  </si>
  <si>
    <t>BOND_0009</t>
  </si>
  <si>
    <t>National Corp</t>
  </si>
  <si>
    <t>Financials</t>
  </si>
  <si>
    <t>Banks</t>
  </si>
  <si>
    <t>BOND_0010</t>
  </si>
  <si>
    <t>Summit Pharma</t>
  </si>
  <si>
    <t>BOND_0011</t>
  </si>
  <si>
    <t>Standard International</t>
  </si>
  <si>
    <t>BOND_0012</t>
  </si>
  <si>
    <t>United Pharma</t>
  </si>
  <si>
    <t>AAA</t>
  </si>
  <si>
    <t>BOND_0013</t>
  </si>
  <si>
    <t>Advanced International</t>
  </si>
  <si>
    <t>Manufacturing</t>
  </si>
  <si>
    <t>BOND_0014</t>
  </si>
  <si>
    <t>National Pharma</t>
  </si>
  <si>
    <t>Healthcare</t>
  </si>
  <si>
    <t>Biotech</t>
  </si>
  <si>
    <t>BOND_0015</t>
  </si>
  <si>
    <t>Advanced Group</t>
  </si>
  <si>
    <t>Oil &amp; Gas</t>
  </si>
  <si>
    <t>BOND_0016</t>
  </si>
  <si>
    <t>Prime Enterprises</t>
  </si>
  <si>
    <t>Pharma</t>
  </si>
  <si>
    <t>France</t>
  </si>
  <si>
    <t>BOND_0017</t>
  </si>
  <si>
    <t>Western Corp</t>
  </si>
  <si>
    <t>Transportation</t>
  </si>
  <si>
    <t>BOND_0018</t>
  </si>
  <si>
    <t>Pacific Corp</t>
  </si>
  <si>
    <t>BOND_0019</t>
  </si>
  <si>
    <t>International Financial</t>
  </si>
  <si>
    <t>Retail</t>
  </si>
  <si>
    <t>BOND_0020</t>
  </si>
  <si>
    <t>Meridian Partners</t>
  </si>
  <si>
    <t>BOND_0021</t>
  </si>
  <si>
    <t>Global Capital</t>
  </si>
  <si>
    <t>BOND_0022</t>
  </si>
  <si>
    <t>Zenith Pharma</t>
  </si>
  <si>
    <t>Software</t>
  </si>
  <si>
    <t>BOND_0023</t>
  </si>
  <si>
    <t>Global Resources</t>
  </si>
  <si>
    <t>BOND_0024</t>
  </si>
  <si>
    <t>Summit Inc</t>
  </si>
  <si>
    <t>Renewables</t>
  </si>
  <si>
    <t>Canada</t>
  </si>
  <si>
    <t>BOND_0025</t>
  </si>
  <si>
    <t>Imperial Holdings</t>
  </si>
  <si>
    <t>BOND_0026</t>
  </si>
  <si>
    <t>International Ventures</t>
  </si>
  <si>
    <t>Medical Devices</t>
  </si>
  <si>
    <t>BOND_0027</t>
  </si>
  <si>
    <t>Premier Capital</t>
  </si>
  <si>
    <t>Asset Management</t>
  </si>
  <si>
    <t>BOND_0028</t>
  </si>
  <si>
    <t>Strategic Group</t>
  </si>
  <si>
    <t>BOND_0029</t>
  </si>
  <si>
    <t>Apex Inc</t>
  </si>
  <si>
    <t>BOND_0030</t>
  </si>
  <si>
    <t>Eastern Holdings</t>
  </si>
  <si>
    <t>BOND_0031</t>
  </si>
  <si>
    <t>Vanguard Holdings</t>
  </si>
  <si>
    <t>BOND_0032</t>
  </si>
  <si>
    <t>United Corp</t>
  </si>
  <si>
    <t>BOND_0033</t>
  </si>
  <si>
    <t>Prime Capital</t>
  </si>
  <si>
    <t>BOND_0034</t>
  </si>
  <si>
    <t>Eastern Industries</t>
  </si>
  <si>
    <t>BOND_0035</t>
  </si>
  <si>
    <t>United Energy</t>
  </si>
  <si>
    <t>BOND_0036</t>
  </si>
  <si>
    <t>Liberty Holdings</t>
  </si>
  <si>
    <t>BOND_0037</t>
  </si>
  <si>
    <t>Zenith Resources</t>
  </si>
  <si>
    <t>BOND_0038</t>
  </si>
  <si>
    <t>Eastern Partners</t>
  </si>
  <si>
    <t>BOND_0039</t>
  </si>
  <si>
    <t>International International</t>
  </si>
  <si>
    <t>Food &amp; Beverage</t>
  </si>
  <si>
    <t>BOND_0040</t>
  </si>
  <si>
    <t>Northern Capital</t>
  </si>
  <si>
    <t>BOND_0041</t>
  </si>
  <si>
    <t>Heritage Industries</t>
  </si>
  <si>
    <t>BOND_0042</t>
  </si>
  <si>
    <t>Horizon Healthcare</t>
  </si>
  <si>
    <t>BOND_0043</t>
  </si>
  <si>
    <t>Northern Industries</t>
  </si>
  <si>
    <t>BOND_0044</t>
  </si>
  <si>
    <t>Southern Ventures</t>
  </si>
  <si>
    <t>BOND_0045</t>
  </si>
  <si>
    <t>First Industries</t>
  </si>
  <si>
    <t>BOND_0046</t>
  </si>
  <si>
    <t>Imperial Energy</t>
  </si>
  <si>
    <t>BOND_0047</t>
  </si>
  <si>
    <t>Global Financial</t>
  </si>
  <si>
    <t>BOND_0048</t>
  </si>
  <si>
    <t>Royal Manufacturing</t>
  </si>
  <si>
    <t>BOND_0049</t>
  </si>
  <si>
    <t>Apex Ventures</t>
  </si>
  <si>
    <t>BOND_0050</t>
  </si>
  <si>
    <t>Prime Pharma</t>
  </si>
  <si>
    <t>BOND_0051</t>
  </si>
  <si>
    <t>Premier Group</t>
  </si>
  <si>
    <t>BOND_0052</t>
  </si>
  <si>
    <t>First Financial</t>
  </si>
  <si>
    <t>Insurance</t>
  </si>
  <si>
    <t>BOND_0053</t>
  </si>
  <si>
    <t>Heritage Corp</t>
  </si>
  <si>
    <t>BOND_0054</t>
  </si>
  <si>
    <t>Consolidated Resources</t>
  </si>
  <si>
    <t>BOND_0055</t>
  </si>
  <si>
    <t>National Manufacturing</t>
  </si>
  <si>
    <t>BOND_0056</t>
  </si>
  <si>
    <t>Summit Technologies</t>
  </si>
  <si>
    <t>BOND_0057</t>
  </si>
  <si>
    <t>Strategic Industries</t>
  </si>
  <si>
    <t>BOND_0058</t>
  </si>
  <si>
    <t>Southern Pharma</t>
  </si>
  <si>
    <t>BOND_0059</t>
  </si>
  <si>
    <t>Heritage Capital</t>
  </si>
  <si>
    <t>BOND_0060</t>
  </si>
  <si>
    <t>Summit Solutions</t>
  </si>
  <si>
    <t>BOND_0061</t>
  </si>
  <si>
    <t>Horizon Manufacturing</t>
  </si>
  <si>
    <t>BOND_0062</t>
  </si>
  <si>
    <t>Atlantic Pharma</t>
  </si>
  <si>
    <t>BOND_0063</t>
  </si>
  <si>
    <t>Meridian Enterprises</t>
  </si>
  <si>
    <t>BOND_0064</t>
  </si>
  <si>
    <t>Apex Enterprises</t>
  </si>
  <si>
    <t>BOND_0065</t>
  </si>
  <si>
    <t>Crest Energy</t>
  </si>
  <si>
    <t>BOND_0066</t>
  </si>
  <si>
    <t>Southern Capital</t>
  </si>
  <si>
    <t>BOND_0067</t>
  </si>
  <si>
    <t>Imperial International</t>
  </si>
  <si>
    <t>BOND_0068</t>
  </si>
  <si>
    <t>Standard Ventures</t>
  </si>
  <si>
    <t>BOND_0069</t>
  </si>
  <si>
    <t>Horizon Financial</t>
  </si>
  <si>
    <t>BOND_0070</t>
  </si>
  <si>
    <t>Consolidated Technologies</t>
  </si>
  <si>
    <t>BOND_0071</t>
  </si>
  <si>
    <t>Dynamic Technologies</t>
  </si>
  <si>
    <t>BOND_0072</t>
  </si>
  <si>
    <t>Heritage Holdings</t>
  </si>
  <si>
    <t>BOND_0073</t>
  </si>
  <si>
    <t>Apex Healthcare</t>
  </si>
  <si>
    <t>BOND_0074</t>
  </si>
  <si>
    <t>International Manufacturing</t>
  </si>
  <si>
    <t>BOND_0075</t>
  </si>
  <si>
    <t>Vertex Capital</t>
  </si>
  <si>
    <t>BOND_0076</t>
  </si>
  <si>
    <t>Horizon Holdings</t>
  </si>
  <si>
    <t>BOND_0077</t>
  </si>
  <si>
    <t>Prime Manufacturing</t>
  </si>
  <si>
    <t>CCC</t>
  </si>
  <si>
    <t>BOND_0078</t>
  </si>
  <si>
    <t>Western Group</t>
  </si>
  <si>
    <t>BOND_0079</t>
  </si>
  <si>
    <t>Global Industries</t>
  </si>
  <si>
    <t>BOND_0080</t>
  </si>
  <si>
    <t>Advanced Partners</t>
  </si>
  <si>
    <t>BOND_0081</t>
  </si>
  <si>
    <t>Central Industries</t>
  </si>
  <si>
    <t>BOND_0082</t>
  </si>
  <si>
    <t>Summit Holdings</t>
  </si>
  <si>
    <t>BOND_0083</t>
  </si>
  <si>
    <t>Eastern Systems</t>
  </si>
  <si>
    <t>BOND_0084</t>
  </si>
  <si>
    <t>Continental Systems</t>
  </si>
  <si>
    <t>BOND_0085</t>
  </si>
  <si>
    <t>Premier Financial</t>
  </si>
  <si>
    <t>BOND_0086</t>
  </si>
  <si>
    <t>Crest Enterprises</t>
  </si>
  <si>
    <t>BOND_0087</t>
  </si>
  <si>
    <t>Central Inc</t>
  </si>
  <si>
    <t>BOND_0088</t>
  </si>
  <si>
    <t>Central Holdings</t>
  </si>
  <si>
    <t>BOND_0089</t>
  </si>
  <si>
    <t>Premier Ventures</t>
  </si>
  <si>
    <t>BOND_0090</t>
  </si>
  <si>
    <t>Global Manufacturing</t>
  </si>
  <si>
    <t>BOND_0091</t>
  </si>
  <si>
    <t>International Technologies</t>
  </si>
  <si>
    <t>BOND_0092</t>
  </si>
  <si>
    <t>Strategic Enterprises</t>
  </si>
  <si>
    <t>BOND_0093</t>
  </si>
  <si>
    <t>Atlantic Solutions</t>
  </si>
  <si>
    <t>BOND_0094</t>
  </si>
  <si>
    <t>Strategic Inc</t>
  </si>
  <si>
    <t>BOND_0095</t>
  </si>
  <si>
    <t>Eastern Resources</t>
  </si>
  <si>
    <t>BOND_0096</t>
  </si>
  <si>
    <t>Continental Holdings</t>
  </si>
  <si>
    <t>BOND_0097</t>
  </si>
  <si>
    <t>Apex Group</t>
  </si>
  <si>
    <t>BOND_0098</t>
  </si>
  <si>
    <t>Royal Corp</t>
  </si>
  <si>
    <t>BOND_0099</t>
  </si>
  <si>
    <t>Prime Financial</t>
  </si>
  <si>
    <t>BOND_0100</t>
  </si>
  <si>
    <t>Global Pharma</t>
  </si>
  <si>
    <t>BOND_0101</t>
  </si>
  <si>
    <t>Pacific Pharma</t>
  </si>
  <si>
    <t>BOND_0102</t>
  </si>
  <si>
    <t>Vertex Group</t>
  </si>
  <si>
    <t>BOND_0103</t>
  </si>
  <si>
    <t>First Healthcare</t>
  </si>
  <si>
    <t>BOND_0104</t>
  </si>
  <si>
    <t>First Enterprises</t>
  </si>
  <si>
    <t>BOND_0105</t>
  </si>
  <si>
    <t>Strategic Holdings</t>
  </si>
  <si>
    <t>BOND_0106</t>
  </si>
  <si>
    <t>Alliance Industries</t>
  </si>
  <si>
    <t>BOND_0107</t>
  </si>
  <si>
    <t>Heritage Resources</t>
  </si>
  <si>
    <t>BOND_0108</t>
  </si>
  <si>
    <t>International Pharma</t>
  </si>
  <si>
    <t>BOND_0109</t>
  </si>
  <si>
    <t>First Capital</t>
  </si>
  <si>
    <t>BOND_0110</t>
  </si>
  <si>
    <t>Metro Resources</t>
  </si>
  <si>
    <t>BOND_0111</t>
  </si>
  <si>
    <t>National Inc</t>
  </si>
  <si>
    <t>BOND_0112</t>
  </si>
  <si>
    <t>Atlantic Partners</t>
  </si>
  <si>
    <t>BOND_0113</t>
  </si>
  <si>
    <t>Metro Systems</t>
  </si>
  <si>
    <t>BOND_0114</t>
  </si>
  <si>
    <t>Dynamic Solutions</t>
  </si>
  <si>
    <t>BOND_0115</t>
  </si>
  <si>
    <t>Imperial Partners</t>
  </si>
  <si>
    <t>BOND_0116</t>
  </si>
  <si>
    <t>Southern Solutions</t>
  </si>
  <si>
    <t>BOND_0117</t>
  </si>
  <si>
    <t>National Financial</t>
  </si>
  <si>
    <t>BOND_0118</t>
  </si>
  <si>
    <t>Metro Capital</t>
  </si>
  <si>
    <t>BOND_0119</t>
  </si>
  <si>
    <t>Liberty Capital</t>
  </si>
  <si>
    <t>BOND_0120</t>
  </si>
  <si>
    <t>Consolidated International</t>
  </si>
  <si>
    <t>BOND_0121</t>
  </si>
  <si>
    <t>Summit Capital</t>
  </si>
  <si>
    <t>BOND_0122</t>
  </si>
  <si>
    <t>Pioneer Ventures</t>
  </si>
  <si>
    <t>BOND_0123</t>
  </si>
  <si>
    <t>Liberty Financial</t>
  </si>
  <si>
    <t>BOND_0124</t>
  </si>
  <si>
    <t>Summit Systems</t>
  </si>
  <si>
    <t>BOND_0125</t>
  </si>
  <si>
    <t>United Healthcare</t>
  </si>
  <si>
    <t>BOND_0126</t>
  </si>
  <si>
    <t>Atlantic Enterprises</t>
  </si>
  <si>
    <t>BOND_0127</t>
  </si>
  <si>
    <t>Summit Healthcare</t>
  </si>
  <si>
    <t>BOND_0128</t>
  </si>
  <si>
    <t>Vanguard Technologies</t>
  </si>
  <si>
    <t>BOND_0129</t>
  </si>
  <si>
    <t>Liberty Solutions</t>
  </si>
  <si>
    <t>BOND_0130</t>
  </si>
  <si>
    <t>Vertex Financial</t>
  </si>
  <si>
    <t>BOND_0131</t>
  </si>
  <si>
    <t>Global Inc</t>
  </si>
  <si>
    <t>BOND_0132</t>
  </si>
  <si>
    <t>Apex Industries</t>
  </si>
  <si>
    <t>BOND_0133</t>
  </si>
  <si>
    <t>Pioneer Energy</t>
  </si>
  <si>
    <t>BOND_0134</t>
  </si>
  <si>
    <t>Prime Group</t>
  </si>
  <si>
    <t>BOND_0135</t>
  </si>
  <si>
    <t>Strategic Corp</t>
  </si>
  <si>
    <t>BOND_0136</t>
  </si>
  <si>
    <t>Standard Financial</t>
  </si>
  <si>
    <t>BOND_0137</t>
  </si>
  <si>
    <t>United Capital</t>
  </si>
  <si>
    <t>BOND_0138</t>
  </si>
  <si>
    <t>Imperial Pharma</t>
  </si>
  <si>
    <t>BOND_0139</t>
  </si>
  <si>
    <t>Dynamic Financial</t>
  </si>
  <si>
    <t>BOND_0140</t>
  </si>
  <si>
    <t>Royal Solutions</t>
  </si>
  <si>
    <t>BOND_0141</t>
  </si>
  <si>
    <t>Liberty Group</t>
  </si>
  <si>
    <t>BOND_0142</t>
  </si>
  <si>
    <t>United Holdings</t>
  </si>
  <si>
    <t>BOND_0143</t>
  </si>
  <si>
    <t>Strategic International</t>
  </si>
  <si>
    <t>BOND_0144</t>
  </si>
  <si>
    <t>Crest Partners</t>
  </si>
  <si>
    <t>BOND_0145</t>
  </si>
  <si>
    <t>Crest Holdings</t>
  </si>
  <si>
    <t>BOND_0146</t>
  </si>
  <si>
    <t>Horizon Corp</t>
  </si>
  <si>
    <t>BOND_0147</t>
  </si>
  <si>
    <t>Pacific Technologies</t>
  </si>
  <si>
    <t>BOND_0148</t>
  </si>
  <si>
    <t>Vertex International</t>
  </si>
  <si>
    <t>BOND_0149</t>
  </si>
  <si>
    <t>Metro Healthcare</t>
  </si>
  <si>
    <t>BOND_0150</t>
  </si>
  <si>
    <t>Western Ventures</t>
  </si>
  <si>
    <t>Active Weight = What you actually own − What the benchmark owns</t>
  </si>
  <si>
    <t>Say a bond has:</t>
  </si>
  <si>
    <t>Active weight = 12% − 5% = +7%</t>
  </si>
  <si>
    <t>Metric</t>
  </si>
  <si>
    <t>What It Measures</t>
  </si>
  <si>
    <t>Formula</t>
  </si>
  <si>
    <t>Dollar Duration</t>
  </si>
  <si>
    <t>Absolute interest rate sensitivity</t>
  </si>
  <si>
    <t>Market Value × Duration</t>
  </si>
  <si>
    <t>Duration Risk Contribution</t>
  </si>
  <si>
    <t>Share of total portfolio rate risk</t>
  </si>
  <si>
    <t>Dollar Duration ÷ Total Dollar Duration</t>
  </si>
  <si>
    <t>Spread Exposure</t>
  </si>
  <si>
    <t>Proxy for credit spread sensitivity</t>
  </si>
  <si>
    <t>Market Value × Spread %</t>
  </si>
  <si>
    <t>Spread Risk Contribution</t>
  </si>
  <si>
    <t>Share of total portfolio credit risk</t>
  </si>
  <si>
    <t>Spread Exposure ÷ Total Spread Exposure</t>
  </si>
  <si>
    <t>Duration Risk Share (sector)</t>
  </si>
  <si>
    <t>Sector’s % of total rate risk</t>
  </si>
  <si>
    <t>Sector Dollar Duration ÷ Total Dollar Duration</t>
  </si>
  <si>
    <t>Spread Risk Share (sector)</t>
  </si>
  <si>
    <t>Sector’s % of total credit risk</t>
  </si>
  <si>
    <t>Sector Spread Exposure ÷ Total Spread Exposure</t>
  </si>
  <si>
    <t>Combined Risk Score</t>
  </si>
  <si>
    <t>Overall riskiness of a bond</t>
  </si>
  <si>
    <t>Duration Contribution + Spread Contribution</t>
  </si>
  <si>
    <r>
      <t>Benchmark weight</t>
    </r>
    <r>
      <rPr>
        <sz val="12"/>
        <color theme="1"/>
        <rFont val="Cambria"/>
        <family val="1"/>
      </rPr>
      <t xml:space="preserve"> = 5% (the index says "this should be 5% of your portfolio")</t>
    </r>
  </si>
  <si>
    <r>
      <t>Your portfolio weight</t>
    </r>
    <r>
      <rPr>
        <sz val="12"/>
        <color theme="1"/>
        <rFont val="Cambria"/>
        <family val="1"/>
      </rPr>
      <t xml:space="preserve"> = 12% (you decided to buy more)</t>
    </r>
  </si>
  <si>
    <r>
      <t>→ You're overweight</t>
    </r>
    <r>
      <rPr>
        <sz val="12"/>
        <color theme="1"/>
        <rFont val="Cambria"/>
        <family val="1"/>
      </rPr>
      <t xml:space="preserve"> by 7%. You're making an </t>
    </r>
    <r>
      <rPr>
        <sz val="12"/>
        <color theme="1"/>
        <rFont val="Cambria"/>
        <family val="1"/>
      </rPr>
      <t>active bet</t>
    </r>
    <r>
      <rPr>
        <sz val="12"/>
        <color theme="1"/>
        <rFont val="Cambria"/>
        <family val="1"/>
      </rPr>
      <t xml:space="preserve"> that this bond will do better than the benchmark expects.</t>
    </r>
  </si>
  <si>
    <t>Scenario Name</t>
  </si>
  <si>
    <t>Shock Type</t>
  </si>
  <si>
    <t>Who Gets Hit</t>
  </si>
  <si>
    <t>Magnitude</t>
  </si>
  <si>
    <t>Rates +50bps</t>
  </si>
  <si>
    <t>Interest rates rise 0.50%</t>
  </si>
  <si>
    <t>All bonds</t>
  </si>
  <si>
    <t>50 bps</t>
  </si>
  <si>
    <t>Rates +100bps</t>
  </si>
  <si>
    <t>Interest rates rise 1.00%</t>
  </si>
  <si>
    <t>100 bps</t>
  </si>
  <si>
    <t>IG Spread +25bps</t>
  </si>
  <si>
    <t>Investment-grade credit spreads widen</t>
  </si>
  <si>
    <r>
      <t xml:space="preserve">Only </t>
    </r>
    <r>
      <rPr>
        <b/>
        <sz val="12"/>
        <color theme="1"/>
        <rFont val="Aptos Narrow"/>
        <family val="2"/>
        <scheme val="minor"/>
      </rPr>
      <t>IG-rated</t>
    </r>
    <r>
      <rPr>
        <sz val="12"/>
        <color theme="1"/>
        <rFont val="Aptos Narrow"/>
        <family val="2"/>
        <scheme val="minor"/>
      </rPr>
      <t xml:space="preserve"> bonds (AAA, AA, A, BBB)</t>
    </r>
  </si>
  <si>
    <t>25 bps</t>
  </si>
  <si>
    <t>HY Spread +100bps</t>
  </si>
  <si>
    <t>High-yield credit spreads widen</t>
  </si>
  <si>
    <r>
      <t xml:space="preserve">Only </t>
    </r>
    <r>
      <rPr>
        <b/>
        <sz val="12"/>
        <color theme="1"/>
        <rFont val="Aptos Narrow"/>
        <family val="2"/>
        <scheme val="minor"/>
      </rPr>
      <t>HY-rated</t>
    </r>
    <r>
      <rPr>
        <sz val="12"/>
        <color theme="1"/>
        <rFont val="Aptos Narrow"/>
        <family val="2"/>
        <scheme val="minor"/>
      </rPr>
      <t xml:space="preserve"> bonds (BB, B, CCC)</t>
    </r>
  </si>
  <si>
    <t>Output</t>
  </si>
  <si>
    <t>Insight</t>
  </si>
  <si>
    <t>Top 10 duration risk bonds</t>
  </si>
  <si>
    <t>"If rates move, these bonds move the portfolio"</t>
  </si>
  <si>
    <t>Top 10 spread risk bonds</t>
  </si>
  <si>
    <t>"If credit deteriorates, these bonds get hit"</t>
  </si>
  <si>
    <t>Sector risk table + charts</t>
  </si>
  <si>
    <t>"These sectors are my risk concentrations"</t>
  </si>
  <si>
    <t>Combined risk chart</t>
  </si>
  <si>
    <t>"These are my most dangerous individual positions overall"</t>
  </si>
  <si>
    <t>Risk Shock Scenarios: This stress test gives you a first-order estimate of portfolio damage under specific market shocks. It's not a precise forecast — it's a what-if exercise to understand vulnerability and ensure you have enough capital/liquidity to survive adverse scenarios.</t>
  </si>
  <si>
    <t>Risk Analytics</t>
  </si>
  <si>
    <t>Stress Testing</t>
  </si>
  <si>
    <t>Action</t>
  </si>
  <si>
    <r>
      <t xml:space="preserve">For each scenario, group losses by </t>
    </r>
    <r>
      <rPr>
        <b/>
        <sz val="12"/>
        <color theme="1"/>
        <rFont val="Aptos Narrow"/>
        <family val="2"/>
        <scheme val="minor"/>
      </rPr>
      <t>Sector</t>
    </r>
  </si>
  <si>
    <r>
      <t xml:space="preserve">For each scenario, group losses by </t>
    </r>
    <r>
      <rPr>
        <b/>
        <sz val="12"/>
        <color theme="1"/>
        <rFont val="Aptos Narrow"/>
        <family val="2"/>
        <scheme val="minor"/>
      </rPr>
      <t>Rating</t>
    </r>
  </si>
  <si>
    <t>Sort by loss amount (worst hit first)</t>
  </si>
  <si>
    <t>Print top 8 sectors and top 8 ratings per scenario</t>
  </si>
  <si>
    <t>Metric  Formula What It Means</t>
  </si>
  <si>
    <t>Portfolio Return    Σ (Portfolio Weight × Daily Return) Weighted average return of all bonds in your portfolio</t>
  </si>
  <si>
    <t>Benchmark Return    Σ (Benchmark Weight × Benchmark Return) Weighted average return of the benchmark</t>
  </si>
  <si>
    <t>Excess Return   Portfolio Return − Benchmark Return How much you outperformed or underperformed</t>
  </si>
  <si>
    <t>Bond    Portfolio Weight    Daily Return    Benchmark Weight    Benchmark Return</t>
  </si>
  <si>
    <t>A   0.30    0.05%   0.25    0.04%</t>
  </si>
  <si>
    <t>B   0.20    0.03%   0.25    0.03%</t>
  </si>
  <si>
    <t>C   0.50    0.10%   0.50    0.08%</t>
  </si>
  <si>
    <t>The Brinson Model Breakdown</t>
  </si>
  <si>
    <t>| Effect                 | Formula                                                                                     | Plain English                                                          |</t>
  </si>
  <si>
    <t>| ---------------------- | ------------------------------------------------------------------------------------------- | ---------------------------------------------------------------------- |</t>
  </si>
  <si>
    <t>| **Allocation**         | (Portfolio Weight − Benchmark Weight) × (Sector Benchmark Return − Total Benchmark Return)  | Did you overweight sectors that beat the overall benchmark?            |</t>
  </si>
  <si>
    <t>| **Selection**          | Benchmark Weight × (Portfolio Sector Return − Benchmark Sector Return)                      | Did you pick better bonds *within* each sector than the benchmark did? |</t>
  </si>
  <si>
    <t>| **Interaction**        | (Portfolio Weight − Benchmark Weight) × (Portfolio Sector Return − Benchmark Sector Return) | Did your sector bets and bond picks reinforce each other?              |</t>
  </si>
  <si>
    <t>| **Total Contribution** | Allocation + Selection + Interaction                                                        | This sector's total piece of the excess return                         |</t>
  </si>
  <si>
    <t>| Variable | Meaning                                                         |</t>
  </si>
  <si>
    <t>| -------- | --------------------------------------------------------------- |</t>
  </si>
  <si>
    <t>| `w_p`    | How much of your portfolio is in this sector                    |</t>
  </si>
  <si>
    <t>| `w_b`    | How much of the benchmark is in this sector                     |</t>
  </si>
  <si>
    <t>| `r_p`    | Your portfolio's return *within* this sector (weighted average) |</t>
  </si>
  <si>
    <t>| `r_b`    | Benchmark's return *within* this sector (weighted average)      |</t>
  </si>
  <si>
    <t>| Sector    | w\_p | w\_b | r\_p  | r\_b  | Allocation | Selection | Interaction | Total    |</t>
  </si>
  <si>
    <t>| --------- | ---- | ---- | ----- | ----- | ---------- | --------- | ----------- | -------- |</t>
  </si>
  <si>
    <t>| Financial | 35%  | 25%  | 0.08% | 0.06% | +0.002%    | +0.005%   | +0.001%     | +0.008%  |</t>
  </si>
  <si>
    <t>| Tech      | 20%  | 30%  | 0.04% | 0.05% | −0.001%    | −0.003%   | +0.001%     | −0.003%  |</t>
  </si>
  <si>
    <t>| Energy    | 45%  | 45%  | 0.10% | 0.07% | 0.000%     | +0.0135%  | 0.000%      | +0.0135% |</t>
  </si>
  <si>
    <t>Risk Attribution</t>
  </si>
  <si>
    <t>Column</t>
  </si>
  <si>
    <t>What It Represents</t>
  </si>
  <si>
    <t>How It Helps Portfolio Construction</t>
  </si>
  <si>
    <t>Unique identifier for each bond</t>
  </si>
  <si>
    <t>Used for tracking holdings, avoiding duplicates, and security-level analysis.</t>
  </si>
  <si>
    <t>Company issuing the bond</t>
  </si>
  <si>
    <t>Helps control issuer concentration risk. Portfolio managers avoid excessive exposure to one company.</t>
  </si>
  <si>
    <t>Economic sector (Financials, Energy, Tech, etc.)</t>
  </si>
  <si>
    <t>Used to diversify across industries and avoid sector concentration risk.</t>
  </si>
  <si>
    <t>More detailed classification within a sector</t>
  </si>
  <si>
    <t>Enables granular diversification. Example: within Financials, diversify between banks and insurance companies.</t>
  </si>
  <si>
    <t>Credit quality (AAA, AA, A, BBB, BB, etc.)</t>
  </si>
  <si>
    <t>Key measure of credit risk. Helps balance safety and return by allocating between investment-grade and high-yield bonds.</t>
  </si>
  <si>
    <t>Country of issuer</t>
  </si>
  <si>
    <t>Helps manage geographic risk and diversify across economies.</t>
  </si>
  <si>
    <t>Number of bonds held</t>
  </si>
  <si>
    <t>Determines exposure size to each security and affects portfolio concentration.</t>
  </si>
  <si>
    <t>Current market price of bond</t>
  </si>
  <si>
    <t>Used to calculate market value and monitor valuation changes.</t>
  </si>
  <si>
    <t>Interest-rate sensitivity</t>
  </si>
  <si>
    <t>Critical risk metric. Higher duration means larger price changes when interest rates move.</t>
  </si>
  <si>
    <t>Credit spread over risk-free rate</t>
  </si>
  <si>
    <t>Measures credit risk premium. Wider spreads generally indicate riskier bonds.</t>
  </si>
  <si>
    <t>Expected annual return from bond</t>
  </si>
  <si>
    <t>Helps select bonds that meet portfolio return objectives.</t>
  </si>
  <si>
    <t>Remaining years until maturity</t>
  </si>
  <si>
    <t>Used to build maturity ladders and manage reinvestment and liquidity risk.</t>
  </si>
  <si>
    <t>Bond's daily performance</t>
  </si>
  <si>
    <t>Used to calculate portfolio return and identify top contributors/detractors.</t>
  </si>
  <si>
    <t>Benchmark bond index return</t>
  </si>
  <si>
    <t>Used to compare portfolio performance against the market benchmark.</t>
  </si>
  <si>
    <t>Current value of position</t>
  </si>
  <si>
    <t>Determines portfolio exposure and weight allocation.</t>
  </si>
  <si>
    <t>Percentage allocation in portfolio</t>
  </si>
  <si>
    <t>Core portfolio construction variable. Controls how much capital is invested in each bond.</t>
  </si>
  <si>
    <t>Percentage allocation in benchmark</t>
  </si>
  <si>
    <t>Used to identify active bets and calculate tracking error.</t>
  </si>
  <si>
    <t>Derived Column</t>
  </si>
  <si>
    <t>Why It Is Important</t>
  </si>
  <si>
    <t>Active_Weight</t>
  </si>
  <si>
    <t>Portfolio_Weight − Benchmark_Weight</t>
  </si>
  <si>
    <t>Shows whether the portfolio is overweight or underweight relative to benchmark.</t>
  </si>
  <si>
    <t>Excess_Return</t>
  </si>
  <si>
    <t>Daily_Return − Benchmark_Return</t>
  </si>
  <si>
    <t>Measures outperformance versus benchmark.</t>
  </si>
  <si>
    <t>Duration_Contribution</t>
  </si>
  <si>
    <t>Portfolio_Weight × Duration</t>
  </si>
  <si>
    <t>Shows how much each bond contributes to overall interest-rate risk.</t>
  </si>
  <si>
    <t>Yield_Contribution</t>
  </si>
  <si>
    <t>Portfolio_Weight × Yield</t>
  </si>
  <si>
    <t>Shows each bond's contribution to portfolio yield.</t>
  </si>
  <si>
    <t>Spread_Contribution</t>
  </si>
  <si>
    <t>Portfolio_Weight × Spread_bps</t>
  </si>
  <si>
    <t>Measures contribution to overall credit risk.</t>
  </si>
  <si>
    <t>Sector_Exposure</t>
  </si>
  <si>
    <t>Sum of Portfolio_Weight by Sector</t>
  </si>
  <si>
    <t>Used for sector allocation decisions.</t>
  </si>
  <si>
    <t>Country_Exposure</t>
  </si>
  <si>
    <t>Sum of Portfolio_Weight by Country</t>
  </si>
  <si>
    <t>Used for geographic diversification analysis.</t>
  </si>
  <si>
    <t>Rating_Exposure</t>
  </si>
  <si>
    <t>Sum of Portfolio_Weight by Rating</t>
  </si>
  <si>
    <t>Measures credit-quality distribution.</t>
  </si>
  <si>
    <t>Objective</t>
  </si>
  <si>
    <t>Columns Used</t>
  </si>
  <si>
    <t>Increase Return</t>
  </si>
  <si>
    <t>Yield, Spread_bps, Daily_Return</t>
  </si>
  <si>
    <t>Control Credit Risk</t>
  </si>
  <si>
    <t>Rating, Spread_bps</t>
  </si>
  <si>
    <t>Control Interest Rate Risk</t>
  </si>
  <si>
    <t>Duration, Maturity_Years</t>
  </si>
  <si>
    <t>Diversification</t>
  </si>
  <si>
    <t>Sector, Industry, Country, Issuer</t>
  </si>
  <si>
    <t>Position Sizing</t>
  </si>
  <si>
    <t>Position, Market_Value, Portfolio_Weight</t>
  </si>
  <si>
    <t>Benchmark Comparison</t>
  </si>
  <si>
    <t>Benchmark_Weight, Benchmark_Return</t>
  </si>
  <si>
    <t>Performance Attribution</t>
  </si>
  <si>
    <t>Daily_Return, Benchmark_Return, Active_Weight</t>
  </si>
  <si>
    <t>The portfolio was constructed using bond characteristics such as rating, duration, yield, sector, industry, country, and issuer. Portfolio weights determine capital allocation, while benchmark weights help identify active investment decisions. Duration and maturity are used to manage interest-rate risk, ratings and spreads control credit risk, and sector/country allocations ensure diversification. Market value and returns are then used to measure performance and attribution against the benchmark. This allows the portfolio manager to balance risk, return, and diversification objectives effectively.</t>
  </si>
  <si>
    <t>Effect</t>
  </si>
  <si>
    <t>Meaning</t>
  </si>
  <si>
    <t>Allocation Effect</t>
  </si>
  <si>
    <t>Sector weighting decisions</t>
  </si>
  <si>
    <t>Selection Effect</t>
  </si>
  <si>
    <t>Bond-picking decisions</t>
  </si>
  <si>
    <t>Interaction Effect</t>
  </si>
  <si>
    <t>Combination of both</t>
  </si>
  <si>
    <t>Total Contribution</t>
  </si>
  <si>
    <t>Total impact on performance</t>
  </si>
  <si>
    <t>New Column</t>
  </si>
  <si>
    <t>Purpose</t>
  </si>
  <si>
    <t>w_p</t>
  </si>
  <si>
    <t>Sum of Portfolio_Weight</t>
  </si>
  <si>
    <t>Sector portfolio exposure</t>
  </si>
  <si>
    <t>w_b</t>
  </si>
  <si>
    <t>Sum of Benchmark_Weight</t>
  </si>
  <si>
    <t>Sector benchmark exposure</t>
  </si>
  <si>
    <t>r_p</t>
  </si>
  <si>
    <t>Weighted portfolio sector return</t>
  </si>
  <si>
    <t>Sector portfolio performance</t>
  </si>
  <si>
    <t>r_b</t>
  </si>
  <si>
    <t>Weighted benchmark sector return</t>
  </si>
  <si>
    <t>Sector benchmark performance</t>
  </si>
  <si>
    <t>Allocation</t>
  </si>
  <si>
    <t>(w_p−w_b)(r_b−R_B)</t>
  </si>
  <si>
    <t>Sector allocation skill</t>
  </si>
  <si>
    <t>Selection</t>
  </si>
  <si>
    <t>w_b(r_p−r_b)</t>
  </si>
  <si>
    <t>Bond selection skill</t>
  </si>
  <si>
    <t>Interaction</t>
  </si>
  <si>
    <t>(w_p−w_b)(r_p−r_b)</t>
  </si>
  <si>
    <t>Combined skill effect</t>
  </si>
  <si>
    <t>Total_Contribution</t>
  </si>
  <si>
    <t>Allocation+Selection+Interaction</t>
  </si>
  <si>
    <t>Overall impact on excess return</t>
  </si>
  <si>
    <t>Brinson Attribution decomposes portfolio outperformance into three components. Allocation Effect measures whether I allocated more capital to sectors that outperformed the benchmark. Selection Effect measures whether I chose better-performing securities within each sector than the benchmark. Interaction Effect captures the combined benefit of both decisions occurring simultaneously. The sum of these effects explains exactly why the portfolio outperformed or underperformed the benchmark.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</si>
</sst>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0.00000000"/>
  </numFmts>
  <fonts count="25">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6"/>
      <color theme="1"/>
      <name val="Inherit"/>
    </font>
    <font>
      <sz val="16"/>
      <color theme="1"/>
      <name val="Cambria"/>
      <family val="1"/>
    </font>
    <font>
      <sz val="12"/>
      <color theme="1"/>
      <name val="Cambria"/>
      <family val="1"/>
    </font>
    <font>
      <sz val="12"/>
      <color theme="1"/>
      <name val="Cambria"/>
      <family val="1"/>
    </font>
    <font>
      <sz val="12"/>
      <color rgb="FFFF0000"/>
      <name val="Cambria"/>
      <family val="1"/>
    </font>
    <font>
      <sz val="20"/>
      <color theme="1"/>
      <name val="Helvetica Neue"/>
      <family val="2"/>
    </font>
    <font>
      <b/>
      <sz val="12"/>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6">
    <xf numFmtId="0" fontId="0" fillId="0" borderId="0" xfId="0"/>
    <xf numFmtId="11" fontId="0" fillId="0" borderId="0" xfId="0" applyNumberFormat="1"/>
    <xf numFmtId="164" fontId="0" fillId="0" borderId="0" xfId="42" applyNumberFormat="1" applyFont="1"/>
    <xf numFmtId="0" fontId="18" fillId="0" borderId="0" xfId="0" applyFont="1"/>
    <xf numFmtId="165" fontId="0" fillId="0" borderId="0" xfId="0" applyNumberFormat="1"/>
    <xf numFmtId="0" fontId="19" fillId="0" borderId="0" xfId="0" applyFont="1"/>
    <xf numFmtId="0" fontId="21" fillId="0" borderId="0" xfId="0" applyFont="1"/>
    <xf numFmtId="0" fontId="21" fillId="0" borderId="0" xfId="0" applyFont="1" applyAlignment="1">
      <alignment horizontal="center" vertical="center"/>
    </xf>
    <xf numFmtId="0" fontId="0" fillId="0" borderId="0" xfId="0" applyAlignment="1">
      <alignment horizontal="center"/>
    </xf>
    <xf numFmtId="0" fontId="22" fillId="0" borderId="0" xfId="0" applyFont="1"/>
    <xf numFmtId="0" fontId="18" fillId="0" borderId="0" xfId="0" applyFont="1" applyAlignment="1">
      <alignment horizontal="center" vertical="center"/>
    </xf>
    <xf numFmtId="0" fontId="23" fillId="0" borderId="0" xfId="0" applyFont="1"/>
    <xf numFmtId="0" fontId="0" fillId="0" borderId="0" xfId="0" applyAlignment="1">
      <alignment horizontal="center" vertical="center" wrapText="1"/>
    </xf>
    <xf numFmtId="0" fontId="16" fillId="0" borderId="0" xfId="0" applyFont="1"/>
    <xf numFmtId="0" fontId="16" fillId="33" borderId="0" xfId="0" applyFont="1" applyFill="1"/>
    <xf numFmtId="0" fontId="24"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692C1-1883-4C4C-B9E4-09ECAF4BC085}">
  <sheetPr filterMode="1"/>
  <dimension ref="A1:Q155"/>
  <sheetViews>
    <sheetView workbookViewId="0">
      <selection activeCell="E160" sqref="E160"/>
    </sheetView>
  </sheetViews>
  <sheetFormatPr baseColWidth="10" defaultRowHeight="16"/>
  <cols>
    <col min="2" max="2" width="24" bestFit="1" customWidth="1"/>
    <col min="3" max="3" width="10.33203125" bestFit="1" customWidth="1"/>
    <col min="4" max="4" width="17.1640625" bestFit="1" customWidth="1"/>
    <col min="5" max="5" width="6.33203125" bestFit="1" customWidth="1"/>
    <col min="6" max="6" width="8.5" bestFit="1" customWidth="1"/>
    <col min="7" max="7" width="15" style="2" bestFit="1" customWidth="1"/>
    <col min="8" max="8" width="9.1640625" style="2" bestFit="1" customWidth="1"/>
    <col min="9" max="9" width="8.33203125" bestFit="1" customWidth="1"/>
    <col min="10" max="10" width="10.5" bestFit="1" customWidth="1"/>
    <col min="11" max="11" width="8.1640625" bestFit="1" customWidth="1"/>
    <col min="12" max="12" width="13.33203125" bestFit="1" customWidth="1"/>
    <col min="13" max="13" width="11.6640625" bestFit="1" customWidth="1"/>
    <col min="14" max="14" width="16.83203125" bestFit="1" customWidth="1"/>
    <col min="15" max="15" width="12.1640625" bestFit="1" customWidth="1"/>
    <col min="16" max="16" width="14.5" bestFit="1" customWidth="1"/>
    <col min="17" max="17" width="17" bestFit="1" customWidth="1"/>
  </cols>
  <sheetData>
    <row r="1" spans="1:17">
      <c r="A1" t="s">
        <v>0</v>
      </c>
      <c r="B1" t="s">
        <v>1</v>
      </c>
      <c r="C1" t="s">
        <v>2</v>
      </c>
      <c r="D1" t="s">
        <v>3</v>
      </c>
      <c r="E1" t="s">
        <v>4</v>
      </c>
      <c r="F1" t="s">
        <v>5</v>
      </c>
      <c r="G1" s="2" t="s">
        <v>6</v>
      </c>
      <c r="H1" s="2" t="s">
        <v>7</v>
      </c>
      <c r="I1" t="s">
        <v>8</v>
      </c>
      <c r="J1" t="s">
        <v>9</v>
      </c>
      <c r="K1" t="s">
        <v>10</v>
      </c>
      <c r="L1" t="s">
        <v>11</v>
      </c>
      <c r="M1" t="s">
        <v>12</v>
      </c>
      <c r="N1" t="s">
        <v>13</v>
      </c>
      <c r="O1" t="s">
        <v>14</v>
      </c>
      <c r="P1" t="s">
        <v>15</v>
      </c>
      <c r="Q1" t="s">
        <v>16</v>
      </c>
    </row>
    <row r="2" spans="1:17" hidden="1">
      <c r="A2" t="s">
        <v>17</v>
      </c>
      <c r="B2" t="s">
        <v>18</v>
      </c>
      <c r="C2" t="s">
        <v>19</v>
      </c>
      <c r="D2" t="s">
        <v>20</v>
      </c>
      <c r="E2" t="s">
        <v>21</v>
      </c>
      <c r="F2" t="s">
        <v>22</v>
      </c>
      <c r="G2" s="2">
        <v>17907098.370000001</v>
      </c>
      <c r="H2" s="2">
        <v>95.535600000000002</v>
      </c>
      <c r="I2">
        <v>2.87</v>
      </c>
      <c r="J2">
        <v>143.59</v>
      </c>
      <c r="K2">
        <v>5.8746</v>
      </c>
      <c r="L2">
        <v>4.3</v>
      </c>
      <c r="M2">
        <v>-3.6819999999999999E-3</v>
      </c>
      <c r="N2">
        <v>7.7429999999999999E-3</v>
      </c>
      <c r="O2">
        <v>17107653.870369699</v>
      </c>
      <c r="P2">
        <v>1.1304269688449199E-2</v>
      </c>
      <c r="Q2">
        <v>2.1546486847049602E-3</v>
      </c>
    </row>
    <row r="3" spans="1:17" hidden="1">
      <c r="A3" t="s">
        <v>23</v>
      </c>
      <c r="B3" t="s">
        <v>24</v>
      </c>
      <c r="C3" t="s">
        <v>25</v>
      </c>
      <c r="D3" t="s">
        <v>26</v>
      </c>
      <c r="E3" t="s">
        <v>27</v>
      </c>
      <c r="F3" t="s">
        <v>28</v>
      </c>
      <c r="G3" s="2">
        <v>11749625.75</v>
      </c>
      <c r="H3" s="2">
        <v>97.565899999999999</v>
      </c>
      <c r="I3">
        <v>4.54</v>
      </c>
      <c r="J3">
        <v>71.56</v>
      </c>
      <c r="K3">
        <v>4.7948000000000004</v>
      </c>
      <c r="L3">
        <v>18.440000000000001</v>
      </c>
      <c r="M3">
        <v>-1.0751E-2</v>
      </c>
      <c r="N3">
        <v>1.5799999999999999E-4</v>
      </c>
      <c r="O3">
        <v>11463628.1096192</v>
      </c>
      <c r="P3">
        <v>7.5748518611116096E-3</v>
      </c>
      <c r="Q3">
        <v>1.7750169907823299E-2</v>
      </c>
    </row>
    <row r="4" spans="1:17" hidden="1">
      <c r="A4" t="s">
        <v>29</v>
      </c>
      <c r="B4" t="s">
        <v>30</v>
      </c>
      <c r="C4" t="s">
        <v>19</v>
      </c>
      <c r="D4" t="s">
        <v>31</v>
      </c>
      <c r="E4" t="s">
        <v>32</v>
      </c>
      <c r="F4" t="s">
        <v>33</v>
      </c>
      <c r="G4" s="2">
        <v>14899759.58</v>
      </c>
      <c r="H4" s="2">
        <v>99.175399999999996</v>
      </c>
      <c r="I4">
        <v>9.7899999999999991</v>
      </c>
      <c r="J4">
        <v>424.15</v>
      </c>
      <c r="K4">
        <v>7.9560000000000004</v>
      </c>
      <c r="L4">
        <v>14.54</v>
      </c>
      <c r="M4">
        <v>-1.4530000000000001E-3</v>
      </c>
      <c r="N4">
        <v>7.149E-3</v>
      </c>
      <c r="O4">
        <v>14776896.1625033</v>
      </c>
      <c r="P4">
        <v>9.76416875422427E-3</v>
      </c>
      <c r="Q4">
        <v>7.5900627130268796E-3</v>
      </c>
    </row>
    <row r="5" spans="1:17" hidden="1">
      <c r="A5" t="s">
        <v>34</v>
      </c>
      <c r="B5" t="s">
        <v>35</v>
      </c>
      <c r="C5" t="s">
        <v>36</v>
      </c>
      <c r="D5" t="s">
        <v>37</v>
      </c>
      <c r="E5" t="s">
        <v>21</v>
      </c>
      <c r="F5" t="s">
        <v>38</v>
      </c>
      <c r="G5" s="2">
        <v>12402891.01</v>
      </c>
      <c r="H5" s="2">
        <v>103.03830000000001</v>
      </c>
      <c r="I5">
        <v>1.61</v>
      </c>
      <c r="J5">
        <v>176.84</v>
      </c>
      <c r="K5">
        <v>6.3733000000000004</v>
      </c>
      <c r="L5">
        <v>17.170000000000002</v>
      </c>
      <c r="M5">
        <v>-5.22E-4</v>
      </c>
      <c r="N5">
        <v>4.2859999999999999E-3</v>
      </c>
      <c r="O5">
        <v>12779728.047556801</v>
      </c>
      <c r="P5">
        <v>8.4444946974777096E-3</v>
      </c>
      <c r="Q5">
        <v>4.6153241470490601E-3</v>
      </c>
    </row>
    <row r="6" spans="1:17" hidden="1">
      <c r="A6" t="s">
        <v>39</v>
      </c>
      <c r="B6" t="s">
        <v>40</v>
      </c>
      <c r="C6" t="s">
        <v>41</v>
      </c>
      <c r="D6" t="s">
        <v>42</v>
      </c>
      <c r="E6" t="s">
        <v>21</v>
      </c>
      <c r="F6" t="s">
        <v>38</v>
      </c>
      <c r="G6" s="2">
        <v>10200565.43</v>
      </c>
      <c r="H6" s="2">
        <v>95.131200000000007</v>
      </c>
      <c r="I6">
        <v>5.77</v>
      </c>
      <c r="J6">
        <v>184.75</v>
      </c>
      <c r="K6">
        <v>5.1007999999999996</v>
      </c>
      <c r="L6">
        <v>17.55</v>
      </c>
      <c r="M6">
        <v>-3.9909999999999998E-3</v>
      </c>
      <c r="N6">
        <v>2.5990000000000002E-3</v>
      </c>
      <c r="O6">
        <v>9703920.3003441598</v>
      </c>
      <c r="P6">
        <v>6.4120850784980801E-3</v>
      </c>
      <c r="Q6" s="1">
        <v>8.6183940293655897E-5</v>
      </c>
    </row>
    <row r="7" spans="1:17" hidden="1">
      <c r="A7" t="s">
        <v>43</v>
      </c>
      <c r="B7" t="s">
        <v>44</v>
      </c>
      <c r="C7" t="s">
        <v>19</v>
      </c>
      <c r="D7" t="s">
        <v>31</v>
      </c>
      <c r="E7" t="s">
        <v>27</v>
      </c>
      <c r="F7" t="s">
        <v>38</v>
      </c>
      <c r="G7" s="2">
        <v>1264133.3700000001</v>
      </c>
      <c r="H7" s="2">
        <v>108.4162</v>
      </c>
      <c r="I7">
        <v>3.35</v>
      </c>
      <c r="J7">
        <v>74.64</v>
      </c>
      <c r="K7">
        <v>4.3483000000000001</v>
      </c>
      <c r="L7">
        <v>12.11</v>
      </c>
      <c r="M7">
        <v>4.0889999999999998E-3</v>
      </c>
      <c r="N7">
        <v>-1.5100000000000001E-4</v>
      </c>
      <c r="O7">
        <v>1370525.36268594</v>
      </c>
      <c r="P7">
        <v>9.05605668202985E-4</v>
      </c>
      <c r="Q7">
        <v>3.2877844833043401E-2</v>
      </c>
    </row>
    <row r="8" spans="1:17" hidden="1">
      <c r="A8" t="s">
        <v>45</v>
      </c>
      <c r="B8" t="s">
        <v>46</v>
      </c>
      <c r="C8" t="s">
        <v>19</v>
      </c>
      <c r="D8" t="s">
        <v>31</v>
      </c>
      <c r="E8" t="s">
        <v>47</v>
      </c>
      <c r="F8" t="s">
        <v>48</v>
      </c>
      <c r="G8" s="2">
        <v>17506416.219999999</v>
      </c>
      <c r="H8" s="2">
        <v>85.452799999999996</v>
      </c>
      <c r="I8">
        <v>2.38</v>
      </c>
      <c r="J8">
        <v>110.47</v>
      </c>
      <c r="K8">
        <v>5.1115000000000004</v>
      </c>
      <c r="L8">
        <v>13.12</v>
      </c>
      <c r="M8">
        <v>1.3749999999999999E-3</v>
      </c>
      <c r="N8">
        <v>5.4799999999999996E-3</v>
      </c>
      <c r="O8">
        <v>14959722.839644101</v>
      </c>
      <c r="P8">
        <v>9.8849756211566598E-3</v>
      </c>
      <c r="Q8">
        <v>7.4966091570991796E-3</v>
      </c>
    </row>
    <row r="9" spans="1:17" hidden="1">
      <c r="A9" t="s">
        <v>49</v>
      </c>
      <c r="B9" t="s">
        <v>50</v>
      </c>
      <c r="C9" t="s">
        <v>41</v>
      </c>
      <c r="D9" t="s">
        <v>42</v>
      </c>
      <c r="E9" t="s">
        <v>51</v>
      </c>
      <c r="F9" t="s">
        <v>28</v>
      </c>
      <c r="G9" s="2">
        <v>8662322.1199999992</v>
      </c>
      <c r="H9" s="2">
        <v>88.345100000000002</v>
      </c>
      <c r="I9">
        <v>2.59</v>
      </c>
      <c r="J9">
        <v>690.96</v>
      </c>
      <c r="K9">
        <v>8.7456999999999994</v>
      </c>
      <c r="L9">
        <v>9.94</v>
      </c>
      <c r="M9">
        <v>3.5959999999999998E-3</v>
      </c>
      <c r="N9">
        <v>9.9740000000000002E-3</v>
      </c>
      <c r="O9">
        <v>7652737.1392361196</v>
      </c>
      <c r="P9">
        <v>5.0567193568586601E-3</v>
      </c>
      <c r="Q9">
        <v>2.56702686338682E-3</v>
      </c>
    </row>
    <row r="10" spans="1:17" hidden="1">
      <c r="A10" t="s">
        <v>52</v>
      </c>
      <c r="B10" t="s">
        <v>53</v>
      </c>
      <c r="C10" t="s">
        <v>54</v>
      </c>
      <c r="D10" t="s">
        <v>55</v>
      </c>
      <c r="E10" t="s">
        <v>21</v>
      </c>
      <c r="F10" t="s">
        <v>33</v>
      </c>
      <c r="G10" s="2">
        <v>9450285.2699999996</v>
      </c>
      <c r="H10" s="2">
        <v>109.38849999999999</v>
      </c>
      <c r="I10">
        <v>3.5</v>
      </c>
      <c r="J10">
        <v>147.65</v>
      </c>
      <c r="K10">
        <v>5.7728000000000002</v>
      </c>
      <c r="L10">
        <v>7.91</v>
      </c>
      <c r="M10">
        <v>9.3589999999999993E-3</v>
      </c>
      <c r="N10">
        <v>1.632E-3</v>
      </c>
      <c r="O10">
        <v>10337525.302573901</v>
      </c>
      <c r="P10">
        <v>6.8307539313652299E-3</v>
      </c>
      <c r="Q10">
        <v>1.42390660059652E-2</v>
      </c>
    </row>
    <row r="11" spans="1:17" hidden="1">
      <c r="A11" t="s">
        <v>56</v>
      </c>
      <c r="B11" t="s">
        <v>57</v>
      </c>
      <c r="C11" t="s">
        <v>41</v>
      </c>
      <c r="D11" t="s">
        <v>42</v>
      </c>
      <c r="E11" t="s">
        <v>21</v>
      </c>
      <c r="F11" t="s">
        <v>22</v>
      </c>
      <c r="G11" s="2">
        <v>11574932</v>
      </c>
      <c r="H11" s="2">
        <v>89.514399999999995</v>
      </c>
      <c r="I11">
        <v>9.5</v>
      </c>
      <c r="J11">
        <v>211.72</v>
      </c>
      <c r="K11">
        <v>6.3879000000000001</v>
      </c>
      <c r="L11">
        <v>10.87</v>
      </c>
      <c r="M11">
        <v>-8.1480000000000007E-3</v>
      </c>
      <c r="N11">
        <v>7.7720000000000003E-3</v>
      </c>
      <c r="O11">
        <v>10361230.930207999</v>
      </c>
      <c r="P11">
        <v>6.8464179616255904E-3</v>
      </c>
      <c r="Q11">
        <v>2.0136853653959898E-3</v>
      </c>
    </row>
    <row r="12" spans="1:17" hidden="1">
      <c r="A12" t="s">
        <v>58</v>
      </c>
      <c r="B12" t="s">
        <v>59</v>
      </c>
      <c r="C12" t="s">
        <v>36</v>
      </c>
      <c r="D12" t="s">
        <v>37</v>
      </c>
      <c r="E12" t="s">
        <v>32</v>
      </c>
      <c r="F12" t="s">
        <v>22</v>
      </c>
      <c r="G12" s="2">
        <v>19442204.329999998</v>
      </c>
      <c r="H12" s="2">
        <v>90.938599999999994</v>
      </c>
      <c r="I12">
        <v>2.1800000000000002</v>
      </c>
      <c r="J12">
        <v>431.81</v>
      </c>
      <c r="K12">
        <v>6.4492000000000003</v>
      </c>
      <c r="L12">
        <v>15.22</v>
      </c>
      <c r="M12">
        <v>3.0899999999999999E-3</v>
      </c>
      <c r="N12">
        <v>-1.64E-3</v>
      </c>
      <c r="O12">
        <v>17680468.4268413</v>
      </c>
      <c r="P12">
        <v>1.1682769877714799E-2</v>
      </c>
      <c r="Q12">
        <v>5.28899242570434E-3</v>
      </c>
    </row>
    <row r="13" spans="1:17">
      <c r="A13" t="s">
        <v>60</v>
      </c>
      <c r="B13" t="s">
        <v>61</v>
      </c>
      <c r="C13" t="s">
        <v>19</v>
      </c>
      <c r="D13" t="s">
        <v>31</v>
      </c>
      <c r="E13" t="s">
        <v>62</v>
      </c>
      <c r="F13" t="s">
        <v>33</v>
      </c>
      <c r="G13" s="2">
        <v>12829963.699999999</v>
      </c>
      <c r="H13" s="2">
        <v>94.194599999999994</v>
      </c>
      <c r="I13">
        <v>7.05</v>
      </c>
      <c r="J13">
        <v>29.51</v>
      </c>
      <c r="K13">
        <v>4.2282000000000002</v>
      </c>
      <c r="L13">
        <v>17.149999999999999</v>
      </c>
      <c r="M13">
        <v>5.195E-3</v>
      </c>
      <c r="N13">
        <v>1.5733E-2</v>
      </c>
      <c r="O13">
        <v>12085132.987360099</v>
      </c>
      <c r="P13">
        <v>7.9855252827219694E-3</v>
      </c>
      <c r="Q13">
        <v>6.8077161591564199E-3</v>
      </c>
    </row>
    <row r="14" spans="1:17" hidden="1">
      <c r="A14" t="s">
        <v>63</v>
      </c>
      <c r="B14" t="s">
        <v>64</v>
      </c>
      <c r="C14" t="s">
        <v>36</v>
      </c>
      <c r="D14" t="s">
        <v>65</v>
      </c>
      <c r="E14" t="s">
        <v>27</v>
      </c>
      <c r="F14" t="s">
        <v>28</v>
      </c>
      <c r="G14" s="2">
        <v>2128263.98</v>
      </c>
      <c r="H14" s="2">
        <v>94.406499999999994</v>
      </c>
      <c r="I14">
        <v>8.32</v>
      </c>
      <c r="J14">
        <v>89.3</v>
      </c>
      <c r="K14">
        <v>4.7534000000000001</v>
      </c>
      <c r="L14">
        <v>19.440000000000001</v>
      </c>
      <c r="M14">
        <v>2.9870000000000001E-3</v>
      </c>
      <c r="N14">
        <v>1.0727E-2</v>
      </c>
      <c r="O14">
        <v>2009219.5342786899</v>
      </c>
      <c r="P14">
        <v>1.32763730496821E-3</v>
      </c>
      <c r="Q14">
        <v>1.6825768559743199E-3</v>
      </c>
    </row>
    <row r="15" spans="1:17">
      <c r="A15" t="s">
        <v>66</v>
      </c>
      <c r="B15" t="s">
        <v>67</v>
      </c>
      <c r="C15" t="s">
        <v>68</v>
      </c>
      <c r="D15" t="s">
        <v>69</v>
      </c>
      <c r="E15" t="s">
        <v>62</v>
      </c>
      <c r="F15" t="s">
        <v>28</v>
      </c>
      <c r="G15" s="2">
        <v>4944735.67</v>
      </c>
      <c r="H15" s="2">
        <v>87.751300000000001</v>
      </c>
      <c r="I15">
        <v>5.85</v>
      </c>
      <c r="J15">
        <v>55.84</v>
      </c>
      <c r="K15">
        <v>3.8180000000000001</v>
      </c>
      <c r="L15">
        <v>17.47</v>
      </c>
      <c r="M15">
        <v>1.069E-2</v>
      </c>
      <c r="N15">
        <v>-1.6440000000000001E-3</v>
      </c>
      <c r="O15">
        <v>4339069.83198871</v>
      </c>
      <c r="P15">
        <v>2.8671386473845201E-3</v>
      </c>
      <c r="Q15">
        <v>2.5828317432088702E-2</v>
      </c>
    </row>
    <row r="16" spans="1:17" hidden="1">
      <c r="A16" t="s">
        <v>70</v>
      </c>
      <c r="B16" t="s">
        <v>71</v>
      </c>
      <c r="C16" t="s">
        <v>41</v>
      </c>
      <c r="D16" t="s">
        <v>72</v>
      </c>
      <c r="E16" t="s">
        <v>27</v>
      </c>
      <c r="F16" t="s">
        <v>22</v>
      </c>
      <c r="G16" s="2">
        <v>19084901.02</v>
      </c>
      <c r="H16" s="2">
        <v>103.693</v>
      </c>
      <c r="I16">
        <v>9.9499999999999993</v>
      </c>
      <c r="J16">
        <v>53.98</v>
      </c>
      <c r="K16">
        <v>4.8834999999999997</v>
      </c>
      <c r="L16">
        <v>15.2</v>
      </c>
      <c r="M16">
        <v>5.3489999999999996E-3</v>
      </c>
      <c r="N16">
        <v>-1.321E-2</v>
      </c>
      <c r="O16">
        <v>19789706.4146685</v>
      </c>
      <c r="P16">
        <v>1.3076496640729201E-2</v>
      </c>
      <c r="Q16">
        <v>9.2881662323974698E-3</v>
      </c>
    </row>
    <row r="17" spans="1:17" hidden="1">
      <c r="A17" t="s">
        <v>73</v>
      </c>
      <c r="B17" t="s">
        <v>74</v>
      </c>
      <c r="C17" t="s">
        <v>68</v>
      </c>
      <c r="D17" t="s">
        <v>75</v>
      </c>
      <c r="E17" t="s">
        <v>47</v>
      </c>
      <c r="F17" t="s">
        <v>76</v>
      </c>
      <c r="G17" s="2">
        <v>3510072.95</v>
      </c>
      <c r="H17" s="2">
        <v>99.531000000000006</v>
      </c>
      <c r="I17">
        <v>3.18</v>
      </c>
      <c r="J17">
        <v>118.85</v>
      </c>
      <c r="K17">
        <v>4.7885999999999997</v>
      </c>
      <c r="L17">
        <v>6</v>
      </c>
      <c r="M17">
        <v>2.2769999999999999E-2</v>
      </c>
      <c r="N17">
        <v>-1.0877E-2</v>
      </c>
      <c r="O17">
        <v>3493610.7078645001</v>
      </c>
      <c r="P17">
        <v>2.3084823861532098E-3</v>
      </c>
      <c r="Q17">
        <v>5.4959193702212002E-3</v>
      </c>
    </row>
    <row r="18" spans="1:17" hidden="1">
      <c r="A18" t="s">
        <v>77</v>
      </c>
      <c r="B18" t="s">
        <v>78</v>
      </c>
      <c r="C18" t="s">
        <v>36</v>
      </c>
      <c r="D18" t="s">
        <v>79</v>
      </c>
      <c r="E18" t="s">
        <v>21</v>
      </c>
      <c r="F18" t="s">
        <v>28</v>
      </c>
      <c r="G18" s="2">
        <v>1303078.1599999999</v>
      </c>
      <c r="H18" s="2">
        <v>105.536</v>
      </c>
      <c r="I18">
        <v>3.9</v>
      </c>
      <c r="J18">
        <v>146.11000000000001</v>
      </c>
      <c r="K18">
        <v>6.0397999999999996</v>
      </c>
      <c r="L18">
        <v>19.66</v>
      </c>
      <c r="M18">
        <v>3.3149999999999998E-3</v>
      </c>
      <c r="N18">
        <v>1.3290000000000001E-3</v>
      </c>
      <c r="O18">
        <v>1375216.5669376</v>
      </c>
      <c r="P18">
        <v>9.0870548764206203E-4</v>
      </c>
      <c r="Q18">
        <v>1.34145374744783E-3</v>
      </c>
    </row>
    <row r="19" spans="1:17" hidden="1">
      <c r="A19" t="s">
        <v>80</v>
      </c>
      <c r="B19" t="s">
        <v>81</v>
      </c>
      <c r="C19" t="s">
        <v>36</v>
      </c>
      <c r="D19" t="s">
        <v>79</v>
      </c>
      <c r="E19" t="s">
        <v>21</v>
      </c>
      <c r="F19" t="s">
        <v>33</v>
      </c>
      <c r="G19" s="2">
        <v>7865655.9800000004</v>
      </c>
      <c r="H19" s="2">
        <v>100.62439999999999</v>
      </c>
      <c r="I19">
        <v>4.84</v>
      </c>
      <c r="J19">
        <v>165.42</v>
      </c>
      <c r="K19">
        <v>5.7023000000000001</v>
      </c>
      <c r="L19">
        <v>17.170000000000002</v>
      </c>
      <c r="M19">
        <v>2.9250000000000001E-3</v>
      </c>
      <c r="N19">
        <v>8.5660000000000007E-3</v>
      </c>
      <c r="O19">
        <v>7914769.1359391203</v>
      </c>
      <c r="P19">
        <v>5.2298629322535201E-3</v>
      </c>
      <c r="Q19">
        <v>3.7286902854498502E-4</v>
      </c>
    </row>
    <row r="20" spans="1:17" hidden="1">
      <c r="A20" t="s">
        <v>82</v>
      </c>
      <c r="B20" t="s">
        <v>83</v>
      </c>
      <c r="C20" t="s">
        <v>25</v>
      </c>
      <c r="D20" t="s">
        <v>84</v>
      </c>
      <c r="E20" t="s">
        <v>47</v>
      </c>
      <c r="F20" t="s">
        <v>28</v>
      </c>
      <c r="G20" s="2">
        <v>5959592.3300000001</v>
      </c>
      <c r="H20" s="2">
        <v>99.290300000000002</v>
      </c>
      <c r="I20">
        <v>2.54</v>
      </c>
      <c r="J20">
        <v>144.35</v>
      </c>
      <c r="K20">
        <v>5.0568</v>
      </c>
      <c r="L20">
        <v>14.55</v>
      </c>
      <c r="M20">
        <v>-4.8009999999999997E-3</v>
      </c>
      <c r="N20">
        <v>4.3940000000000003E-3</v>
      </c>
      <c r="O20">
        <v>5917297.1032339903</v>
      </c>
      <c r="P20">
        <v>3.9099880549658796E-3</v>
      </c>
      <c r="Q20">
        <v>2.5980318075395502E-3</v>
      </c>
    </row>
    <row r="21" spans="1:17" hidden="1">
      <c r="A21" t="s">
        <v>85</v>
      </c>
      <c r="B21" t="s">
        <v>86</v>
      </c>
      <c r="C21" t="s">
        <v>68</v>
      </c>
      <c r="D21" t="s">
        <v>75</v>
      </c>
      <c r="E21" t="s">
        <v>32</v>
      </c>
      <c r="F21" t="s">
        <v>76</v>
      </c>
      <c r="G21" s="2">
        <v>890513.94</v>
      </c>
      <c r="H21" s="2">
        <v>109.3541</v>
      </c>
      <c r="I21">
        <v>9.83</v>
      </c>
      <c r="J21">
        <v>326.51</v>
      </c>
      <c r="K21">
        <v>6.2995999999999999</v>
      </c>
      <c r="L21">
        <v>15.19</v>
      </c>
      <c r="M21">
        <v>7.4229999999999999E-3</v>
      </c>
      <c r="N21">
        <v>5.7489999999999998E-3</v>
      </c>
      <c r="O21">
        <v>973813.50446154003</v>
      </c>
      <c r="P21">
        <v>6.4346932455497396E-4</v>
      </c>
      <c r="Q21">
        <v>9.4231200080366305E-3</v>
      </c>
    </row>
    <row r="22" spans="1:17" hidden="1">
      <c r="A22" t="s">
        <v>87</v>
      </c>
      <c r="B22" t="s">
        <v>88</v>
      </c>
      <c r="C22" t="s">
        <v>36</v>
      </c>
      <c r="D22" t="s">
        <v>37</v>
      </c>
      <c r="E22" t="s">
        <v>27</v>
      </c>
      <c r="F22" t="s">
        <v>38</v>
      </c>
      <c r="G22" s="2">
        <v>13044120.26</v>
      </c>
      <c r="H22" s="2">
        <v>94.7042</v>
      </c>
      <c r="I22">
        <v>1.24</v>
      </c>
      <c r="J22">
        <v>87.01</v>
      </c>
      <c r="K22">
        <v>4.5754999999999999</v>
      </c>
      <c r="L22">
        <v>12.64</v>
      </c>
      <c r="M22">
        <v>1.7564E-2</v>
      </c>
      <c r="N22">
        <v>-1.3265000000000001E-2</v>
      </c>
      <c r="O22">
        <v>12353329.739270899</v>
      </c>
      <c r="P22">
        <v>8.1627423597178898E-3</v>
      </c>
      <c r="Q22">
        <v>2.1134121559869901E-3</v>
      </c>
    </row>
    <row r="23" spans="1:17" hidden="1">
      <c r="A23" t="s">
        <v>89</v>
      </c>
      <c r="B23" t="s">
        <v>90</v>
      </c>
      <c r="C23" t="s">
        <v>19</v>
      </c>
      <c r="D23" t="s">
        <v>91</v>
      </c>
      <c r="E23" t="s">
        <v>32</v>
      </c>
      <c r="F23" t="s">
        <v>33</v>
      </c>
      <c r="G23" s="2">
        <v>12940235.470000001</v>
      </c>
      <c r="H23" s="2">
        <v>90.154700000000005</v>
      </c>
      <c r="I23">
        <v>5.82</v>
      </c>
      <c r="J23">
        <v>312.45</v>
      </c>
      <c r="K23">
        <v>6.5755999999999997</v>
      </c>
      <c r="L23">
        <v>9.17</v>
      </c>
      <c r="M23">
        <v>6.3740000000000003E-3</v>
      </c>
      <c r="N23">
        <v>-9.0650000000000001E-3</v>
      </c>
      <c r="O23">
        <v>11666230.467272</v>
      </c>
      <c r="P23">
        <v>7.7087259567519299E-3</v>
      </c>
      <c r="Q23">
        <v>5.2234317781543697E-3</v>
      </c>
    </row>
    <row r="24" spans="1:17" hidden="1">
      <c r="A24" t="s">
        <v>92</v>
      </c>
      <c r="B24" t="s">
        <v>93</v>
      </c>
      <c r="C24" t="s">
        <v>19</v>
      </c>
      <c r="D24" t="s">
        <v>31</v>
      </c>
      <c r="E24" t="s">
        <v>27</v>
      </c>
      <c r="F24" t="s">
        <v>28</v>
      </c>
      <c r="G24" s="2">
        <v>11309904.02</v>
      </c>
      <c r="H24" s="2">
        <v>103.4474</v>
      </c>
      <c r="I24">
        <v>7.43</v>
      </c>
      <c r="J24">
        <v>54</v>
      </c>
      <c r="K24">
        <v>4.9549000000000003</v>
      </c>
      <c r="L24">
        <v>16.07</v>
      </c>
      <c r="M24">
        <v>-1.0115000000000001E-2</v>
      </c>
      <c r="N24">
        <v>1.3306E-2</v>
      </c>
      <c r="O24">
        <v>11699801.651185401</v>
      </c>
      <c r="P24">
        <v>7.73090887672407E-3</v>
      </c>
      <c r="Q24">
        <v>8.7673550445395293E-3</v>
      </c>
    </row>
    <row r="25" spans="1:17" hidden="1">
      <c r="A25" t="s">
        <v>94</v>
      </c>
      <c r="B25" t="s">
        <v>95</v>
      </c>
      <c r="C25" t="s">
        <v>41</v>
      </c>
      <c r="D25" t="s">
        <v>96</v>
      </c>
      <c r="E25" t="s">
        <v>32</v>
      </c>
      <c r="F25" t="s">
        <v>97</v>
      </c>
      <c r="G25" s="2">
        <v>7151255.4800000004</v>
      </c>
      <c r="H25" s="2">
        <v>85.395499999999998</v>
      </c>
      <c r="I25">
        <v>7.08</v>
      </c>
      <c r="J25">
        <v>339.16</v>
      </c>
      <c r="K25">
        <v>7.8113000000000001</v>
      </c>
      <c r="L25">
        <v>13.36</v>
      </c>
      <c r="M25">
        <v>3.62E-3</v>
      </c>
      <c r="N25">
        <v>8.8280000000000008E-3</v>
      </c>
      <c r="O25">
        <v>6106850.3734234003</v>
      </c>
      <c r="P25">
        <v>4.0352396705751799E-3</v>
      </c>
      <c r="Q25">
        <v>7.6931313574895904E-4</v>
      </c>
    </row>
    <row r="26" spans="1:17" hidden="1">
      <c r="A26" t="s">
        <v>98</v>
      </c>
      <c r="B26" t="s">
        <v>99</v>
      </c>
      <c r="C26" t="s">
        <v>19</v>
      </c>
      <c r="D26" t="s">
        <v>20</v>
      </c>
      <c r="E26" t="s">
        <v>32</v>
      </c>
      <c r="F26" t="s">
        <v>28</v>
      </c>
      <c r="G26" s="2">
        <v>15219337.49</v>
      </c>
      <c r="H26" s="2">
        <v>100.874</v>
      </c>
      <c r="I26">
        <v>4</v>
      </c>
      <c r="J26">
        <v>267.75</v>
      </c>
      <c r="K26">
        <v>8.4041999999999994</v>
      </c>
      <c r="L26">
        <v>13.71</v>
      </c>
      <c r="M26">
        <v>-2.1150000000000001E-3</v>
      </c>
      <c r="N26">
        <v>-7.9279999999999993E-3</v>
      </c>
      <c r="O26">
        <v>15352354.4996626</v>
      </c>
      <c r="P26">
        <v>1.0144415881446101E-2</v>
      </c>
      <c r="Q26">
        <v>7.7865370608291001E-3</v>
      </c>
    </row>
    <row r="27" spans="1:17" hidden="1">
      <c r="A27" t="s">
        <v>100</v>
      </c>
      <c r="B27" t="s">
        <v>101</v>
      </c>
      <c r="C27" t="s">
        <v>68</v>
      </c>
      <c r="D27" t="s">
        <v>102</v>
      </c>
      <c r="E27" t="s">
        <v>51</v>
      </c>
      <c r="F27" t="s">
        <v>97</v>
      </c>
      <c r="G27" s="2">
        <v>2153444.31</v>
      </c>
      <c r="H27" s="2">
        <v>86.041799999999995</v>
      </c>
      <c r="I27">
        <v>2.35</v>
      </c>
      <c r="J27">
        <v>578.05999999999995</v>
      </c>
      <c r="K27">
        <v>10.040699999999999</v>
      </c>
      <c r="L27">
        <v>15.63</v>
      </c>
      <c r="M27">
        <v>-2.4229999999999998E-3</v>
      </c>
      <c r="N27">
        <v>1.6930000000000001E-3</v>
      </c>
      <c r="O27">
        <v>1852862.2463215799</v>
      </c>
      <c r="P27">
        <v>1.2243206863240201E-3</v>
      </c>
      <c r="Q27">
        <v>6.4904389592879E-4</v>
      </c>
    </row>
    <row r="28" spans="1:17" hidden="1">
      <c r="A28" t="s">
        <v>103</v>
      </c>
      <c r="B28" t="s">
        <v>104</v>
      </c>
      <c r="C28" t="s">
        <v>54</v>
      </c>
      <c r="D28" t="s">
        <v>105</v>
      </c>
      <c r="E28" t="s">
        <v>32</v>
      </c>
      <c r="F28" t="s">
        <v>48</v>
      </c>
      <c r="G28" s="2">
        <v>16888821.920000002</v>
      </c>
      <c r="H28" s="2">
        <v>90.089500000000001</v>
      </c>
      <c r="I28">
        <v>1.73</v>
      </c>
      <c r="J28">
        <v>294.11</v>
      </c>
      <c r="K28">
        <v>7.0460000000000003</v>
      </c>
      <c r="L28">
        <v>9.6999999999999993</v>
      </c>
      <c r="M28">
        <v>9.5499999999999995E-3</v>
      </c>
      <c r="N28">
        <v>-1.523E-3</v>
      </c>
      <c r="O28">
        <v>15215055.223618399</v>
      </c>
      <c r="P28">
        <v>1.00536922757318E-2</v>
      </c>
      <c r="Q28">
        <v>2.2603495686107099E-2</v>
      </c>
    </row>
    <row r="29" spans="1:17" hidden="1">
      <c r="A29" t="s">
        <v>106</v>
      </c>
      <c r="B29" t="s">
        <v>107</v>
      </c>
      <c r="C29" t="s">
        <v>19</v>
      </c>
      <c r="D29" t="s">
        <v>31</v>
      </c>
      <c r="E29" t="s">
        <v>51</v>
      </c>
      <c r="F29" t="s">
        <v>48</v>
      </c>
      <c r="G29" s="2">
        <v>19129026.390000001</v>
      </c>
      <c r="H29" s="2">
        <v>107.3021</v>
      </c>
      <c r="I29">
        <v>4.38</v>
      </c>
      <c r="J29">
        <v>564.86</v>
      </c>
      <c r="K29">
        <v>10.355</v>
      </c>
      <c r="L29">
        <v>11.15</v>
      </c>
      <c r="M29">
        <v>-4.8529999999999997E-3</v>
      </c>
      <c r="N29">
        <v>7.6790000000000001E-3</v>
      </c>
      <c r="O29">
        <v>20525847.026024099</v>
      </c>
      <c r="P29">
        <v>1.35629182191898E-2</v>
      </c>
      <c r="Q29">
        <v>4.5138060675745098E-3</v>
      </c>
    </row>
    <row r="30" spans="1:17" hidden="1">
      <c r="A30" t="s">
        <v>108</v>
      </c>
      <c r="B30" t="s">
        <v>109</v>
      </c>
      <c r="C30" t="s">
        <v>68</v>
      </c>
      <c r="D30" t="s">
        <v>102</v>
      </c>
      <c r="E30" t="s">
        <v>47</v>
      </c>
      <c r="F30" t="s">
        <v>33</v>
      </c>
      <c r="G30" s="2">
        <v>11262183.359999999</v>
      </c>
      <c r="H30" s="2">
        <v>106.3045</v>
      </c>
      <c r="I30">
        <v>7.04</v>
      </c>
      <c r="J30">
        <v>131.79</v>
      </c>
      <c r="K30">
        <v>5.0202</v>
      </c>
      <c r="L30">
        <v>14.26</v>
      </c>
      <c r="M30">
        <v>8.7130000000000003E-3</v>
      </c>
      <c r="N30">
        <v>1.5629999999999999E-3</v>
      </c>
      <c r="O30">
        <v>11972207.7099312</v>
      </c>
      <c r="P30">
        <v>7.9109073485287094E-3</v>
      </c>
      <c r="Q30">
        <v>1.09992528345011E-3</v>
      </c>
    </row>
    <row r="31" spans="1:17" hidden="1">
      <c r="A31" t="s">
        <v>110</v>
      </c>
      <c r="B31" t="s">
        <v>111</v>
      </c>
      <c r="C31" t="s">
        <v>54</v>
      </c>
      <c r="D31" t="s">
        <v>55</v>
      </c>
      <c r="E31" t="s">
        <v>27</v>
      </c>
      <c r="F31" t="s">
        <v>38</v>
      </c>
      <c r="G31" s="2">
        <v>12555950.74</v>
      </c>
      <c r="H31" s="2">
        <v>85.974100000000007</v>
      </c>
      <c r="I31">
        <v>2.86</v>
      </c>
      <c r="J31">
        <v>50.73</v>
      </c>
      <c r="K31">
        <v>4.3773</v>
      </c>
      <c r="L31">
        <v>8.2799999999999994</v>
      </c>
      <c r="M31">
        <v>1.0342E-2</v>
      </c>
      <c r="N31">
        <v>-8.6390000000000008E-3</v>
      </c>
      <c r="O31">
        <v>10794865.6451583</v>
      </c>
      <c r="P31">
        <v>7.1329519189534604E-3</v>
      </c>
      <c r="Q31">
        <v>2.82286703928565E-3</v>
      </c>
    </row>
    <row r="32" spans="1:17" hidden="1">
      <c r="A32" t="s">
        <v>112</v>
      </c>
      <c r="B32" t="s">
        <v>113</v>
      </c>
      <c r="C32" t="s">
        <v>19</v>
      </c>
      <c r="D32" t="s">
        <v>91</v>
      </c>
      <c r="E32" t="s">
        <v>27</v>
      </c>
      <c r="F32" t="s">
        <v>97</v>
      </c>
      <c r="G32" s="2">
        <v>8237284.6299999999</v>
      </c>
      <c r="H32" s="2">
        <v>86.773499999999999</v>
      </c>
      <c r="I32">
        <v>1.73</v>
      </c>
      <c r="J32">
        <v>71.39</v>
      </c>
      <c r="K32">
        <v>4.1943000000000001</v>
      </c>
      <c r="L32">
        <v>2.82</v>
      </c>
      <c r="M32">
        <v>1.047E-3</v>
      </c>
      <c r="N32">
        <v>-2.4659999999999999E-3</v>
      </c>
      <c r="O32">
        <v>7147780.1784130502</v>
      </c>
      <c r="P32">
        <v>4.7230576105165602E-3</v>
      </c>
      <c r="Q32">
        <v>3.5927227821287498E-3</v>
      </c>
    </row>
    <row r="33" spans="1:17" hidden="1">
      <c r="A33" t="s">
        <v>114</v>
      </c>
      <c r="B33" t="s">
        <v>115</v>
      </c>
      <c r="C33" t="s">
        <v>25</v>
      </c>
      <c r="D33" t="s">
        <v>84</v>
      </c>
      <c r="E33" t="s">
        <v>27</v>
      </c>
      <c r="F33" t="s">
        <v>97</v>
      </c>
      <c r="G33" s="2">
        <v>17198323.690000001</v>
      </c>
      <c r="H33" s="2">
        <v>106.1665</v>
      </c>
      <c r="I33">
        <v>8.94</v>
      </c>
      <c r="J33">
        <v>53.94</v>
      </c>
      <c r="K33">
        <v>4.7004000000000001</v>
      </c>
      <c r="L33">
        <v>11.84</v>
      </c>
      <c r="M33">
        <v>7.8650000000000005E-3</v>
      </c>
      <c r="N33">
        <v>-1.1869999999999999E-3</v>
      </c>
      <c r="O33">
        <v>18258858.3203438</v>
      </c>
      <c r="P33">
        <v>1.2064954097174001E-2</v>
      </c>
      <c r="Q33">
        <v>9.56089586448018E-3</v>
      </c>
    </row>
    <row r="34" spans="1:17" hidden="1">
      <c r="A34" t="s">
        <v>116</v>
      </c>
      <c r="B34" t="s">
        <v>117</v>
      </c>
      <c r="C34" t="s">
        <v>36</v>
      </c>
      <c r="D34" t="s">
        <v>37</v>
      </c>
      <c r="E34" t="s">
        <v>47</v>
      </c>
      <c r="F34" t="s">
        <v>38</v>
      </c>
      <c r="G34" s="2">
        <v>16888572.82</v>
      </c>
      <c r="H34" s="2">
        <v>87.606200000000001</v>
      </c>
      <c r="I34">
        <v>7.94</v>
      </c>
      <c r="J34">
        <v>75.510000000000005</v>
      </c>
      <c r="K34">
        <v>4.5773000000000001</v>
      </c>
      <c r="L34">
        <v>13.08</v>
      </c>
      <c r="M34">
        <v>-4.5189999999999996E-3</v>
      </c>
      <c r="N34">
        <v>-3.068E-3</v>
      </c>
      <c r="O34">
        <v>14795436.881834799</v>
      </c>
      <c r="P34">
        <v>9.7764199543671701E-3</v>
      </c>
      <c r="Q34">
        <v>9.1618277204971506E-3</v>
      </c>
    </row>
    <row r="35" spans="1:17">
      <c r="A35" t="s">
        <v>118</v>
      </c>
      <c r="B35" t="s">
        <v>119</v>
      </c>
      <c r="C35" t="s">
        <v>19</v>
      </c>
      <c r="D35" t="s">
        <v>20</v>
      </c>
      <c r="E35" t="s">
        <v>62</v>
      </c>
      <c r="F35" t="s">
        <v>22</v>
      </c>
      <c r="G35" s="2">
        <v>1144489.29</v>
      </c>
      <c r="H35" s="2">
        <v>95.275899999999993</v>
      </c>
      <c r="I35">
        <v>2.33</v>
      </c>
      <c r="J35">
        <v>30.67</v>
      </c>
      <c r="K35">
        <v>4.4766000000000004</v>
      </c>
      <c r="L35">
        <v>19.96</v>
      </c>
      <c r="M35">
        <v>1.0396000000000001E-2</v>
      </c>
      <c r="N35">
        <v>-9.5849999999999998E-3</v>
      </c>
      <c r="O35">
        <v>1090422.47145111</v>
      </c>
      <c r="P35">
        <v>7.20521340040549E-4</v>
      </c>
      <c r="Q35">
        <v>6.37533400674939E-3</v>
      </c>
    </row>
    <row r="36" spans="1:17" hidden="1">
      <c r="A36" t="s">
        <v>120</v>
      </c>
      <c r="B36" t="s">
        <v>121</v>
      </c>
      <c r="C36" t="s">
        <v>25</v>
      </c>
      <c r="D36" t="s">
        <v>26</v>
      </c>
      <c r="E36" t="s">
        <v>47</v>
      </c>
      <c r="F36" t="s">
        <v>48</v>
      </c>
      <c r="G36" s="2">
        <v>3433129.38</v>
      </c>
      <c r="H36" s="2">
        <v>109.6819</v>
      </c>
      <c r="I36">
        <v>1.41</v>
      </c>
      <c r="J36">
        <v>100.12</v>
      </c>
      <c r="K36">
        <v>5.3106</v>
      </c>
      <c r="L36">
        <v>2.87</v>
      </c>
      <c r="M36">
        <v>-1.3205E-2</v>
      </c>
      <c r="N36">
        <v>9.8770000000000004E-3</v>
      </c>
      <c r="O36">
        <v>3765521.5334422202</v>
      </c>
      <c r="P36">
        <v>2.4881536214278002E-3</v>
      </c>
      <c r="Q36">
        <v>7.54132134633966E-4</v>
      </c>
    </row>
    <row r="37" spans="1:17" hidden="1">
      <c r="A37" t="s">
        <v>122</v>
      </c>
      <c r="B37" t="s">
        <v>123</v>
      </c>
      <c r="C37" t="s">
        <v>54</v>
      </c>
      <c r="D37" t="s">
        <v>55</v>
      </c>
      <c r="E37" t="s">
        <v>51</v>
      </c>
      <c r="F37" t="s">
        <v>76</v>
      </c>
      <c r="G37" s="2">
        <v>13396726.92</v>
      </c>
      <c r="H37" s="2">
        <v>104.3663</v>
      </c>
      <c r="I37">
        <v>7.64</v>
      </c>
      <c r="J37">
        <v>524.13</v>
      </c>
      <c r="K37">
        <v>9.0490999999999993</v>
      </c>
      <c r="L37">
        <v>12.65</v>
      </c>
      <c r="M37">
        <v>-3.1110000000000001E-3</v>
      </c>
      <c r="N37">
        <v>-2.6519999999999998E-3</v>
      </c>
      <c r="O37">
        <v>13981668.207507901</v>
      </c>
      <c r="P37">
        <v>9.2387038754526002E-3</v>
      </c>
      <c r="Q37">
        <v>1.10701245439328E-3</v>
      </c>
    </row>
    <row r="38" spans="1:17" hidden="1">
      <c r="A38" t="s">
        <v>124</v>
      </c>
      <c r="B38" t="s">
        <v>125</v>
      </c>
      <c r="C38" t="s">
        <v>25</v>
      </c>
      <c r="D38" t="s">
        <v>26</v>
      </c>
      <c r="E38" t="s">
        <v>47</v>
      </c>
      <c r="F38" t="s">
        <v>38</v>
      </c>
      <c r="G38" s="2">
        <v>3095780.11</v>
      </c>
      <c r="H38" s="2">
        <v>88.6935</v>
      </c>
      <c r="I38">
        <v>7.84</v>
      </c>
      <c r="J38">
        <v>127.64</v>
      </c>
      <c r="K38">
        <v>4.5622999999999996</v>
      </c>
      <c r="L38">
        <v>14.77</v>
      </c>
      <c r="M38">
        <v>7.4349999999999998E-3</v>
      </c>
      <c r="N38">
        <v>3.6970000000000002E-3</v>
      </c>
      <c r="O38">
        <v>2745755.73186285</v>
      </c>
      <c r="P38">
        <v>1.81432027598721E-3</v>
      </c>
      <c r="Q38">
        <v>6.6304592707608996E-4</v>
      </c>
    </row>
    <row r="39" spans="1:17" hidden="1">
      <c r="A39" t="s">
        <v>126</v>
      </c>
      <c r="B39" t="s">
        <v>127</v>
      </c>
      <c r="C39" t="s">
        <v>41</v>
      </c>
      <c r="D39" t="s">
        <v>72</v>
      </c>
      <c r="E39" t="s">
        <v>27</v>
      </c>
      <c r="F39" t="s">
        <v>28</v>
      </c>
      <c r="G39" s="2">
        <v>14221328.26</v>
      </c>
      <c r="H39" s="2">
        <v>106.3865</v>
      </c>
      <c r="I39">
        <v>1.1299999999999999</v>
      </c>
      <c r="J39">
        <v>42.3</v>
      </c>
      <c r="K39">
        <v>4.0407000000000002</v>
      </c>
      <c r="L39">
        <v>4.2</v>
      </c>
      <c r="M39">
        <v>-6.9150000000000001E-3</v>
      </c>
      <c r="N39" s="1">
        <v>-1.7E-5</v>
      </c>
      <c r="O39">
        <v>15129573.389324799</v>
      </c>
      <c r="P39">
        <v>9.9972082180323704E-3</v>
      </c>
      <c r="Q39">
        <v>5.7974370756429397E-3</v>
      </c>
    </row>
    <row r="40" spans="1:17">
      <c r="A40" t="s">
        <v>128</v>
      </c>
      <c r="B40" t="s">
        <v>129</v>
      </c>
      <c r="C40" t="s">
        <v>25</v>
      </c>
      <c r="D40" t="s">
        <v>130</v>
      </c>
      <c r="E40" t="s">
        <v>62</v>
      </c>
      <c r="F40" t="s">
        <v>76</v>
      </c>
      <c r="G40" s="2">
        <v>7456689.8700000001</v>
      </c>
      <c r="H40" s="2">
        <v>105.7184</v>
      </c>
      <c r="I40">
        <v>1.41</v>
      </c>
      <c r="J40">
        <v>35.549999999999997</v>
      </c>
      <c r="K40">
        <v>3.7713000000000001</v>
      </c>
      <c r="L40">
        <v>8.1300000000000008</v>
      </c>
      <c r="M40">
        <v>3.2490000000000002E-3</v>
      </c>
      <c r="N40">
        <v>-1.1941E-2</v>
      </c>
      <c r="O40">
        <v>7883093.2235260801</v>
      </c>
      <c r="P40">
        <v>5.2089323558426404E-3</v>
      </c>
      <c r="Q40">
        <v>1.41212678237194E-2</v>
      </c>
    </row>
    <row r="41" spans="1:17" hidden="1">
      <c r="A41" t="s">
        <v>131</v>
      </c>
      <c r="B41" t="s">
        <v>132</v>
      </c>
      <c r="C41" t="s">
        <v>54</v>
      </c>
      <c r="D41" t="s">
        <v>105</v>
      </c>
      <c r="E41" t="s">
        <v>27</v>
      </c>
      <c r="F41" t="s">
        <v>22</v>
      </c>
      <c r="G41" s="2">
        <v>11456400.5</v>
      </c>
      <c r="H41" s="2">
        <v>106.67789999999999</v>
      </c>
      <c r="I41">
        <v>7.58</v>
      </c>
      <c r="J41">
        <v>52.5</v>
      </c>
      <c r="K41">
        <v>4.5804999999999998</v>
      </c>
      <c r="L41">
        <v>10.039999999999999</v>
      </c>
      <c r="M41">
        <v>6.6160000000000004E-3</v>
      </c>
      <c r="N41">
        <v>-7.378E-3</v>
      </c>
      <c r="O41">
        <v>12221447.4689894</v>
      </c>
      <c r="P41">
        <v>8.0755981632264998E-3</v>
      </c>
      <c r="Q41">
        <v>3.8309308329445299E-3</v>
      </c>
    </row>
    <row r="42" spans="1:17" hidden="1">
      <c r="A42" t="s">
        <v>133</v>
      </c>
      <c r="B42" t="s">
        <v>134</v>
      </c>
      <c r="C42" t="s">
        <v>36</v>
      </c>
      <c r="D42" t="s">
        <v>65</v>
      </c>
      <c r="E42" t="s">
        <v>51</v>
      </c>
      <c r="F42" t="s">
        <v>97</v>
      </c>
      <c r="G42" s="2">
        <v>10013153.859999999</v>
      </c>
      <c r="H42" s="2">
        <v>108.9894</v>
      </c>
      <c r="I42">
        <v>1.1100000000000001</v>
      </c>
      <c r="J42">
        <v>693.97</v>
      </c>
      <c r="K42">
        <v>10.4046</v>
      </c>
      <c r="L42">
        <v>6.42</v>
      </c>
      <c r="M42">
        <v>1.457E-3</v>
      </c>
      <c r="N42">
        <v>-6.411E-3</v>
      </c>
      <c r="O42">
        <v>10913276.313090799</v>
      </c>
      <c r="P42">
        <v>7.21119444913562E-3</v>
      </c>
      <c r="Q42">
        <v>1.1810751118863599E-3</v>
      </c>
    </row>
    <row r="43" spans="1:17" hidden="1">
      <c r="A43" t="s">
        <v>135</v>
      </c>
      <c r="B43" t="s">
        <v>136</v>
      </c>
      <c r="C43" t="s">
        <v>36</v>
      </c>
      <c r="D43" t="s">
        <v>79</v>
      </c>
      <c r="E43" t="s">
        <v>21</v>
      </c>
      <c r="F43" t="s">
        <v>48</v>
      </c>
      <c r="G43" s="2">
        <v>9855735.8699999992</v>
      </c>
      <c r="H43" s="2">
        <v>85.939899999999994</v>
      </c>
      <c r="I43">
        <v>1.63</v>
      </c>
      <c r="J43">
        <v>126.85</v>
      </c>
      <c r="K43">
        <v>5.1327999999999996</v>
      </c>
      <c r="L43">
        <v>2.8</v>
      </c>
      <c r="M43">
        <v>-1.2343E-2</v>
      </c>
      <c r="N43">
        <v>4.3750000000000004E-3</v>
      </c>
      <c r="O43">
        <v>8470009.5509421192</v>
      </c>
      <c r="P43">
        <v>5.5967506095867302E-3</v>
      </c>
      <c r="Q43">
        <v>5.4994097218325497E-3</v>
      </c>
    </row>
    <row r="44" spans="1:17" hidden="1">
      <c r="A44" t="s">
        <v>137</v>
      </c>
      <c r="B44" t="s">
        <v>138</v>
      </c>
      <c r="C44" t="s">
        <v>68</v>
      </c>
      <c r="D44" t="s">
        <v>75</v>
      </c>
      <c r="E44" t="s">
        <v>21</v>
      </c>
      <c r="F44" t="s">
        <v>22</v>
      </c>
      <c r="G44" s="2">
        <v>5055351.1500000004</v>
      </c>
      <c r="H44" s="2">
        <v>92.407700000000006</v>
      </c>
      <c r="I44">
        <v>3.15</v>
      </c>
      <c r="J44">
        <v>166.1</v>
      </c>
      <c r="K44">
        <v>5.4309000000000003</v>
      </c>
      <c r="L44">
        <v>5.9</v>
      </c>
      <c r="M44">
        <v>2.23E-4</v>
      </c>
      <c r="N44">
        <v>2.0400000000000001E-3</v>
      </c>
      <c r="O44">
        <v>4671533.7246385496</v>
      </c>
      <c r="P44">
        <v>3.0868216929185802E-3</v>
      </c>
      <c r="Q44">
        <v>1.1247434578318999E-2</v>
      </c>
    </row>
    <row r="45" spans="1:17" hidden="1">
      <c r="A45" t="s">
        <v>139</v>
      </c>
      <c r="B45" t="s">
        <v>140</v>
      </c>
      <c r="C45" t="s">
        <v>68</v>
      </c>
      <c r="D45" t="s">
        <v>69</v>
      </c>
      <c r="E45" t="s">
        <v>27</v>
      </c>
      <c r="F45" t="s">
        <v>76</v>
      </c>
      <c r="G45" s="2">
        <v>6454595.2800000003</v>
      </c>
      <c r="H45" s="2">
        <v>92.097999999999999</v>
      </c>
      <c r="I45">
        <v>6.23</v>
      </c>
      <c r="J45">
        <v>87.01</v>
      </c>
      <c r="K45">
        <v>4.9737</v>
      </c>
      <c r="L45">
        <v>11.98</v>
      </c>
      <c r="M45">
        <v>-2.2536E-2</v>
      </c>
      <c r="N45">
        <v>-5.2220000000000001E-3</v>
      </c>
      <c r="O45">
        <v>5944553.1609744001</v>
      </c>
      <c r="P45">
        <v>3.9279981123165903E-3</v>
      </c>
      <c r="Q45">
        <v>9.1170449642607003E-3</v>
      </c>
    </row>
    <row r="46" spans="1:17">
      <c r="A46" t="s">
        <v>141</v>
      </c>
      <c r="B46" t="s">
        <v>142</v>
      </c>
      <c r="C46" t="s">
        <v>25</v>
      </c>
      <c r="D46" t="s">
        <v>130</v>
      </c>
      <c r="E46" t="s">
        <v>62</v>
      </c>
      <c r="F46" t="s">
        <v>22</v>
      </c>
      <c r="G46" s="2">
        <v>4765902.28</v>
      </c>
      <c r="H46" s="2">
        <v>89.207300000000004</v>
      </c>
      <c r="I46">
        <v>5.36</v>
      </c>
      <c r="J46">
        <v>30.78</v>
      </c>
      <c r="K46">
        <v>3.7441</v>
      </c>
      <c r="L46">
        <v>15.81</v>
      </c>
      <c r="M46">
        <v>-1.6233000000000001E-2</v>
      </c>
      <c r="N46">
        <v>9.2460000000000007E-3</v>
      </c>
      <c r="O46">
        <v>4251532.7446264401</v>
      </c>
      <c r="P46">
        <v>2.8092965346797299E-3</v>
      </c>
      <c r="Q46">
        <v>1.43619092225879E-2</v>
      </c>
    </row>
    <row r="47" spans="1:17" hidden="1">
      <c r="A47" t="s">
        <v>143</v>
      </c>
      <c r="B47" t="s">
        <v>144</v>
      </c>
      <c r="C47" t="s">
        <v>54</v>
      </c>
      <c r="D47" t="s">
        <v>105</v>
      </c>
      <c r="E47" t="s">
        <v>21</v>
      </c>
      <c r="F47" t="s">
        <v>22</v>
      </c>
      <c r="G47" s="2">
        <v>13346275.65</v>
      </c>
      <c r="H47" s="2">
        <v>105.164</v>
      </c>
      <c r="I47">
        <v>2.67</v>
      </c>
      <c r="J47">
        <v>233.48</v>
      </c>
      <c r="K47">
        <v>6.0983000000000001</v>
      </c>
      <c r="L47">
        <v>12.52</v>
      </c>
      <c r="M47">
        <v>7.1710000000000003E-3</v>
      </c>
      <c r="N47">
        <v>3.614E-3</v>
      </c>
      <c r="O47">
        <v>14035477.324565999</v>
      </c>
      <c r="P47">
        <v>9.2742594680271604E-3</v>
      </c>
      <c r="Q47">
        <v>2.1928812917102699E-3</v>
      </c>
    </row>
    <row r="48" spans="1:17" hidden="1">
      <c r="A48" t="s">
        <v>145</v>
      </c>
      <c r="B48" t="s">
        <v>146</v>
      </c>
      <c r="C48" t="s">
        <v>25</v>
      </c>
      <c r="D48" t="s">
        <v>26</v>
      </c>
      <c r="E48" t="s">
        <v>32</v>
      </c>
      <c r="F48" t="s">
        <v>33</v>
      </c>
      <c r="G48" s="2">
        <v>2794156.06</v>
      </c>
      <c r="H48" s="2">
        <v>86.577699999999993</v>
      </c>
      <c r="I48">
        <v>8.7799999999999994</v>
      </c>
      <c r="J48">
        <v>351.37</v>
      </c>
      <c r="K48">
        <v>6.3982999999999999</v>
      </c>
      <c r="L48">
        <v>16</v>
      </c>
      <c r="M48">
        <v>-4.9560000000000003E-3</v>
      </c>
      <c r="N48">
        <v>-7.8209999999999998E-3</v>
      </c>
      <c r="O48">
        <v>2419116.05115862</v>
      </c>
      <c r="P48">
        <v>1.5984857103823499E-3</v>
      </c>
      <c r="Q48">
        <v>1.4521636436022E-3</v>
      </c>
    </row>
    <row r="49" spans="1:17" hidden="1">
      <c r="A49" t="s">
        <v>147</v>
      </c>
      <c r="B49" t="s">
        <v>148</v>
      </c>
      <c r="C49" t="s">
        <v>36</v>
      </c>
      <c r="D49" t="s">
        <v>37</v>
      </c>
      <c r="E49" t="s">
        <v>51</v>
      </c>
      <c r="F49" t="s">
        <v>48</v>
      </c>
      <c r="G49" s="2">
        <v>3135742.64</v>
      </c>
      <c r="H49" s="2">
        <v>85.645300000000006</v>
      </c>
      <c r="I49">
        <v>4.59</v>
      </c>
      <c r="J49">
        <v>541.88</v>
      </c>
      <c r="K49">
        <v>8.2044999999999995</v>
      </c>
      <c r="L49">
        <v>7.7</v>
      </c>
      <c r="M49">
        <v>9.5299999999999996E-4</v>
      </c>
      <c r="N49">
        <v>4.1079999999999997E-3</v>
      </c>
      <c r="O49">
        <v>2685616.1912559201</v>
      </c>
      <c r="P49">
        <v>1.77458171270369E-3</v>
      </c>
      <c r="Q49">
        <v>1.42696960596349E-2</v>
      </c>
    </row>
    <row r="50" spans="1:17" hidden="1">
      <c r="A50" t="s">
        <v>149</v>
      </c>
      <c r="B50" t="s">
        <v>150</v>
      </c>
      <c r="C50" t="s">
        <v>19</v>
      </c>
      <c r="D50" t="s">
        <v>20</v>
      </c>
      <c r="E50" t="s">
        <v>21</v>
      </c>
      <c r="F50" t="s">
        <v>22</v>
      </c>
      <c r="G50" s="2">
        <v>16781139.620000001</v>
      </c>
      <c r="H50" s="2">
        <v>88.483900000000006</v>
      </c>
      <c r="I50">
        <v>3.42</v>
      </c>
      <c r="J50">
        <v>202.35</v>
      </c>
      <c r="K50">
        <v>5.3868</v>
      </c>
      <c r="L50">
        <v>12.86</v>
      </c>
      <c r="M50">
        <v>6.4700000000000001E-4</v>
      </c>
      <c r="N50">
        <v>2.833E-3</v>
      </c>
      <c r="O50">
        <v>14848606.8002211</v>
      </c>
      <c r="P50">
        <v>9.8115531819451002E-3</v>
      </c>
      <c r="Q50">
        <v>7.2176348748724502E-3</v>
      </c>
    </row>
    <row r="51" spans="1:17" hidden="1">
      <c r="A51" t="s">
        <v>151</v>
      </c>
      <c r="B51" t="s">
        <v>152</v>
      </c>
      <c r="C51" t="s">
        <v>25</v>
      </c>
      <c r="D51" t="s">
        <v>26</v>
      </c>
      <c r="E51" t="s">
        <v>32</v>
      </c>
      <c r="F51" t="s">
        <v>22</v>
      </c>
      <c r="G51" s="2">
        <v>12155609.52</v>
      </c>
      <c r="H51" s="2">
        <v>100.15470000000001</v>
      </c>
      <c r="I51">
        <v>5.63</v>
      </c>
      <c r="J51">
        <v>255.88</v>
      </c>
      <c r="K51">
        <v>6.9888000000000003</v>
      </c>
      <c r="L51">
        <v>14.49</v>
      </c>
      <c r="M51">
        <v>5.2979999999999998E-3</v>
      </c>
      <c r="N51">
        <v>8.3350000000000004E-3</v>
      </c>
      <c r="O51">
        <v>12174414.247927399</v>
      </c>
      <c r="P51">
        <v>8.0445198973677998E-3</v>
      </c>
      <c r="Q51">
        <v>2.5081894531505801E-3</v>
      </c>
    </row>
    <row r="52" spans="1:17" hidden="1">
      <c r="A52" t="s">
        <v>153</v>
      </c>
      <c r="B52" t="s">
        <v>154</v>
      </c>
      <c r="C52" t="s">
        <v>68</v>
      </c>
      <c r="D52" t="s">
        <v>69</v>
      </c>
      <c r="E52" t="s">
        <v>21</v>
      </c>
      <c r="F52" t="s">
        <v>76</v>
      </c>
      <c r="G52" s="2">
        <v>12607852.6</v>
      </c>
      <c r="H52" s="2">
        <v>93.647099999999995</v>
      </c>
      <c r="I52">
        <v>3.71</v>
      </c>
      <c r="J52">
        <v>128.76</v>
      </c>
      <c r="K52">
        <v>5.8733000000000004</v>
      </c>
      <c r="L52">
        <v>15.54</v>
      </c>
      <c r="M52">
        <v>-3.9709999999999997E-3</v>
      </c>
      <c r="N52">
        <v>3.0400000000000002E-3</v>
      </c>
      <c r="O52">
        <v>11806888.332174599</v>
      </c>
      <c r="P52">
        <v>7.8016688261078196E-3</v>
      </c>
      <c r="Q52">
        <v>9.1336491946723396E-3</v>
      </c>
    </row>
    <row r="53" spans="1:17" hidden="1">
      <c r="A53" t="s">
        <v>155</v>
      </c>
      <c r="B53" t="s">
        <v>156</v>
      </c>
      <c r="C53" t="s">
        <v>54</v>
      </c>
      <c r="D53" t="s">
        <v>157</v>
      </c>
      <c r="E53" t="s">
        <v>32</v>
      </c>
      <c r="F53" t="s">
        <v>22</v>
      </c>
      <c r="G53" s="2">
        <v>16133697.619999999</v>
      </c>
      <c r="H53" s="2">
        <v>102.8522</v>
      </c>
      <c r="I53">
        <v>1.47</v>
      </c>
      <c r="J53">
        <v>391.81</v>
      </c>
      <c r="K53">
        <v>8.1774000000000004</v>
      </c>
      <c r="L53">
        <v>11.96</v>
      </c>
      <c r="M53">
        <v>8.8959999999999994E-3</v>
      </c>
      <c r="N53">
        <v>-3.3470000000000001E-3</v>
      </c>
      <c r="O53">
        <v>16593862.943517599</v>
      </c>
      <c r="P53">
        <v>1.0964770699013001E-2</v>
      </c>
      <c r="Q53">
        <v>1.1368956895758399E-2</v>
      </c>
    </row>
    <row r="54" spans="1:17" hidden="1">
      <c r="A54" t="s">
        <v>158</v>
      </c>
      <c r="B54" t="s">
        <v>159</v>
      </c>
      <c r="C54" t="s">
        <v>25</v>
      </c>
      <c r="D54" t="s">
        <v>130</v>
      </c>
      <c r="E54" t="s">
        <v>47</v>
      </c>
      <c r="F54" t="s">
        <v>48</v>
      </c>
      <c r="G54" s="2">
        <v>590324.44999999995</v>
      </c>
      <c r="H54" s="2">
        <v>105.07129999999999</v>
      </c>
      <c r="I54">
        <v>6.32</v>
      </c>
      <c r="J54">
        <v>74.38</v>
      </c>
      <c r="K54">
        <v>4.8352000000000004</v>
      </c>
      <c r="L54">
        <v>12.38</v>
      </c>
      <c r="M54">
        <v>-7.5969999999999996E-3</v>
      </c>
      <c r="N54">
        <v>-1.1183999999999999E-2</v>
      </c>
      <c r="O54">
        <v>620261.57383284997</v>
      </c>
      <c r="P54">
        <v>4.0985188039913102E-4</v>
      </c>
      <c r="Q54">
        <v>6.4282631628405701E-3</v>
      </c>
    </row>
    <row r="55" spans="1:17">
      <c r="A55" t="s">
        <v>160</v>
      </c>
      <c r="B55" t="s">
        <v>161</v>
      </c>
      <c r="C55" t="s">
        <v>41</v>
      </c>
      <c r="D55" t="s">
        <v>72</v>
      </c>
      <c r="E55" t="s">
        <v>62</v>
      </c>
      <c r="F55" t="s">
        <v>97</v>
      </c>
      <c r="G55" s="2">
        <v>14307415.27</v>
      </c>
      <c r="H55" s="2">
        <v>100.0279</v>
      </c>
      <c r="I55">
        <v>2.4</v>
      </c>
      <c r="J55">
        <v>22.32</v>
      </c>
      <c r="K55">
        <v>4.3662000000000001</v>
      </c>
      <c r="L55">
        <v>5.99</v>
      </c>
      <c r="M55">
        <v>-3.2560000000000002E-3</v>
      </c>
      <c r="N55">
        <v>4.1980000000000003E-3</v>
      </c>
      <c r="O55">
        <v>14311407.038860301</v>
      </c>
      <c r="P55">
        <v>9.4565862750268202E-3</v>
      </c>
      <c r="Q55">
        <v>7.8421112775817203E-3</v>
      </c>
    </row>
    <row r="56" spans="1:17" hidden="1">
      <c r="A56" t="s">
        <v>162</v>
      </c>
      <c r="B56" t="s">
        <v>163</v>
      </c>
      <c r="C56" t="s">
        <v>19</v>
      </c>
      <c r="D56" t="s">
        <v>20</v>
      </c>
      <c r="E56" t="s">
        <v>32</v>
      </c>
      <c r="F56" t="s">
        <v>48</v>
      </c>
      <c r="G56" s="2">
        <v>5247904.78</v>
      </c>
      <c r="H56" s="2">
        <v>107.4508</v>
      </c>
      <c r="I56">
        <v>1.1599999999999999</v>
      </c>
      <c r="J56">
        <v>251.51</v>
      </c>
      <c r="K56">
        <v>7.6186999999999996</v>
      </c>
      <c r="L56">
        <v>5.66</v>
      </c>
      <c r="M56">
        <v>-1.011E-3</v>
      </c>
      <c r="N56">
        <v>4.2719999999999998E-3</v>
      </c>
      <c r="O56">
        <v>5638915.6693482399</v>
      </c>
      <c r="P56">
        <v>3.72604121872832E-3</v>
      </c>
      <c r="Q56">
        <v>3.1682786426138398E-3</v>
      </c>
    </row>
    <row r="57" spans="1:17" hidden="1">
      <c r="A57" t="s">
        <v>164</v>
      </c>
      <c r="B57" t="s">
        <v>165</v>
      </c>
      <c r="C57" t="s">
        <v>25</v>
      </c>
      <c r="D57" t="s">
        <v>26</v>
      </c>
      <c r="E57" t="s">
        <v>21</v>
      </c>
      <c r="F57" t="s">
        <v>33</v>
      </c>
      <c r="G57" s="2">
        <v>3246711.9</v>
      </c>
      <c r="H57" s="2">
        <v>96.311000000000007</v>
      </c>
      <c r="I57">
        <v>4.12</v>
      </c>
      <c r="J57">
        <v>178.79</v>
      </c>
      <c r="K57">
        <v>5.3369</v>
      </c>
      <c r="L57">
        <v>16.09</v>
      </c>
      <c r="M57">
        <v>4.4700000000000002E-4</v>
      </c>
      <c r="N57">
        <v>-8.8339999999999998E-3</v>
      </c>
      <c r="O57">
        <v>3126940.6980090002</v>
      </c>
      <c r="P57">
        <v>2.06619687409641E-3</v>
      </c>
      <c r="Q57">
        <v>5.2108560378401397E-3</v>
      </c>
    </row>
    <row r="58" spans="1:17" hidden="1">
      <c r="A58" t="s">
        <v>166</v>
      </c>
      <c r="B58" t="s">
        <v>167</v>
      </c>
      <c r="C58" t="s">
        <v>68</v>
      </c>
      <c r="D58" t="s">
        <v>75</v>
      </c>
      <c r="E58" t="s">
        <v>27</v>
      </c>
      <c r="F58" t="s">
        <v>28</v>
      </c>
      <c r="G58" s="2">
        <v>7804945.9900000002</v>
      </c>
      <c r="H58" s="2">
        <v>86.132599999999996</v>
      </c>
      <c r="I58">
        <v>4.9000000000000004</v>
      </c>
      <c r="J58">
        <v>70.790000000000006</v>
      </c>
      <c r="K58">
        <v>4.6351000000000004</v>
      </c>
      <c r="L58">
        <v>11.52</v>
      </c>
      <c r="M58">
        <v>9.68E-4</v>
      </c>
      <c r="N58">
        <v>1.6836E-2</v>
      </c>
      <c r="O58">
        <v>6722602.9097827403</v>
      </c>
      <c r="P58">
        <v>4.4421121023589701E-3</v>
      </c>
      <c r="Q58">
        <v>5.0018996219742002E-3</v>
      </c>
    </row>
    <row r="59" spans="1:17" hidden="1">
      <c r="A59" t="s">
        <v>168</v>
      </c>
      <c r="B59" t="s">
        <v>169</v>
      </c>
      <c r="C59" t="s">
        <v>19</v>
      </c>
      <c r="D59" t="s">
        <v>31</v>
      </c>
      <c r="E59" t="s">
        <v>47</v>
      </c>
      <c r="F59" t="s">
        <v>76</v>
      </c>
      <c r="G59" s="2">
        <v>4973197.54</v>
      </c>
      <c r="H59" s="2">
        <v>94.706699999999998</v>
      </c>
      <c r="I59">
        <v>1.96</v>
      </c>
      <c r="J59">
        <v>83.57</v>
      </c>
      <c r="K59">
        <v>5.1467999999999998</v>
      </c>
      <c r="L59">
        <v>8.68</v>
      </c>
      <c r="M59">
        <v>-5.8859999999999997E-3</v>
      </c>
      <c r="N59">
        <v>-8.9650000000000007E-3</v>
      </c>
      <c r="O59">
        <v>4709951.2746151797</v>
      </c>
      <c r="P59">
        <v>3.11220695901036E-3</v>
      </c>
      <c r="Q59">
        <v>1.26900259791812E-2</v>
      </c>
    </row>
    <row r="60" spans="1:17" hidden="1">
      <c r="A60" t="s">
        <v>170</v>
      </c>
      <c r="B60" t="s">
        <v>171</v>
      </c>
      <c r="C60" t="s">
        <v>36</v>
      </c>
      <c r="D60" t="s">
        <v>65</v>
      </c>
      <c r="E60" t="s">
        <v>47</v>
      </c>
      <c r="F60" t="s">
        <v>38</v>
      </c>
      <c r="G60" s="2">
        <v>12320405.369999999</v>
      </c>
      <c r="H60" s="2">
        <v>108.85129999999999</v>
      </c>
      <c r="I60">
        <v>8.65</v>
      </c>
      <c r="J60">
        <v>106.04</v>
      </c>
      <c r="K60">
        <v>4.6292</v>
      </c>
      <c r="L60">
        <v>12.21</v>
      </c>
      <c r="M60">
        <v>6.1929999999999997E-3</v>
      </c>
      <c r="N60">
        <v>-7.4720000000000003E-3</v>
      </c>
      <c r="O60">
        <v>13410921.4105148</v>
      </c>
      <c r="P60">
        <v>8.86157000508574E-3</v>
      </c>
      <c r="Q60">
        <v>1.23409313687918E-2</v>
      </c>
    </row>
    <row r="61" spans="1:17" hidden="1">
      <c r="A61" t="s">
        <v>172</v>
      </c>
      <c r="B61" t="s">
        <v>173</v>
      </c>
      <c r="C61" t="s">
        <v>25</v>
      </c>
      <c r="D61" t="s">
        <v>130</v>
      </c>
      <c r="E61" t="s">
        <v>47</v>
      </c>
      <c r="F61" t="s">
        <v>97</v>
      </c>
      <c r="G61" s="2">
        <v>7985878.8200000003</v>
      </c>
      <c r="H61" s="2">
        <v>107.4894</v>
      </c>
      <c r="I61">
        <v>3.71</v>
      </c>
      <c r="J61">
        <v>110.22</v>
      </c>
      <c r="K61">
        <v>4.7321999999999997</v>
      </c>
      <c r="L61">
        <v>16.14</v>
      </c>
      <c r="M61">
        <v>7.639E-3</v>
      </c>
      <c r="N61">
        <v>1.0690000000000001E-3</v>
      </c>
      <c r="O61">
        <v>8583973.2283450793</v>
      </c>
      <c r="P61">
        <v>5.6720546900767901E-3</v>
      </c>
      <c r="Q61">
        <v>1.2041180300727599E-2</v>
      </c>
    </row>
    <row r="62" spans="1:17" hidden="1">
      <c r="A62" t="s">
        <v>174</v>
      </c>
      <c r="B62" t="s">
        <v>175</v>
      </c>
      <c r="C62" t="s">
        <v>36</v>
      </c>
      <c r="D62" t="s">
        <v>65</v>
      </c>
      <c r="E62" t="s">
        <v>32</v>
      </c>
      <c r="F62" t="s">
        <v>76</v>
      </c>
      <c r="G62" s="2">
        <v>14493897.83</v>
      </c>
      <c r="H62" s="2">
        <v>87.240700000000004</v>
      </c>
      <c r="I62">
        <v>7.03</v>
      </c>
      <c r="J62">
        <v>356.45</v>
      </c>
      <c r="K62">
        <v>7.4523000000000001</v>
      </c>
      <c r="L62">
        <v>19.16</v>
      </c>
      <c r="M62">
        <v>3.0300000000000001E-3</v>
      </c>
      <c r="N62" s="1">
        <v>-6.4999999999999994E-5</v>
      </c>
      <c r="O62">
        <v>12644577.924176799</v>
      </c>
      <c r="P62">
        <v>8.3551911930526499E-3</v>
      </c>
      <c r="Q62" s="1">
        <v>7.4710842232217801E-5</v>
      </c>
    </row>
    <row r="63" spans="1:17" hidden="1">
      <c r="A63" t="s">
        <v>176</v>
      </c>
      <c r="B63" t="s">
        <v>177</v>
      </c>
      <c r="C63" t="s">
        <v>68</v>
      </c>
      <c r="D63" t="s">
        <v>75</v>
      </c>
      <c r="E63" t="s">
        <v>27</v>
      </c>
      <c r="F63" t="s">
        <v>33</v>
      </c>
      <c r="G63" s="2">
        <v>14658781.01</v>
      </c>
      <c r="H63" s="2">
        <v>100.9357</v>
      </c>
      <c r="I63">
        <v>1.77</v>
      </c>
      <c r="J63">
        <v>66.569999999999993</v>
      </c>
      <c r="K63">
        <v>4.5406000000000004</v>
      </c>
      <c r="L63">
        <v>3.66</v>
      </c>
      <c r="M63">
        <v>6.2100000000000002E-4</v>
      </c>
      <c r="N63">
        <v>3.4949999999999998E-3</v>
      </c>
      <c r="O63">
        <v>14795943.223910499</v>
      </c>
      <c r="P63">
        <v>9.7767545313595505E-3</v>
      </c>
      <c r="Q63">
        <v>9.3244674872905407E-3</v>
      </c>
    </row>
    <row r="64" spans="1:17" hidden="1">
      <c r="A64" t="s">
        <v>178</v>
      </c>
      <c r="B64" t="s">
        <v>179</v>
      </c>
      <c r="C64" t="s">
        <v>54</v>
      </c>
      <c r="D64" t="s">
        <v>105</v>
      </c>
      <c r="E64" t="s">
        <v>27</v>
      </c>
      <c r="F64" t="s">
        <v>48</v>
      </c>
      <c r="G64" s="2">
        <v>14071497.02</v>
      </c>
      <c r="H64" s="2">
        <v>105.8995</v>
      </c>
      <c r="I64">
        <v>4.95</v>
      </c>
      <c r="J64">
        <v>41.27</v>
      </c>
      <c r="K64">
        <v>4.9626000000000001</v>
      </c>
      <c r="L64">
        <v>7.05</v>
      </c>
      <c r="M64">
        <v>-9.1020000000000007E-3</v>
      </c>
      <c r="N64">
        <v>-1.9419999999999999E-3</v>
      </c>
      <c r="O64">
        <v>14901644.9866949</v>
      </c>
      <c r="P64">
        <v>9.8465993646787604E-3</v>
      </c>
      <c r="Q64">
        <v>9.5745956266679502E-3</v>
      </c>
    </row>
    <row r="65" spans="1:17" hidden="1">
      <c r="A65" t="s">
        <v>180</v>
      </c>
      <c r="B65" t="s">
        <v>181</v>
      </c>
      <c r="C65" t="s">
        <v>54</v>
      </c>
      <c r="D65" t="s">
        <v>157</v>
      </c>
      <c r="E65" t="s">
        <v>27</v>
      </c>
      <c r="F65" t="s">
        <v>33</v>
      </c>
      <c r="G65" s="2">
        <v>6413677.54</v>
      </c>
      <c r="H65" s="2">
        <v>85.9709</v>
      </c>
      <c r="I65">
        <v>9.84</v>
      </c>
      <c r="J65">
        <v>83.02</v>
      </c>
      <c r="K65">
        <v>4.2503000000000002</v>
      </c>
      <c r="L65">
        <v>18.52</v>
      </c>
      <c r="M65">
        <v>-1.5432E-2</v>
      </c>
      <c r="N65">
        <v>3.382E-3</v>
      </c>
      <c r="O65">
        <v>5513896.3042358598</v>
      </c>
      <c r="P65">
        <v>3.6434318422341599E-3</v>
      </c>
      <c r="Q65">
        <v>7.6400622860212904E-3</v>
      </c>
    </row>
    <row r="66" spans="1:17" hidden="1">
      <c r="A66" t="s">
        <v>182</v>
      </c>
      <c r="B66" t="s">
        <v>183</v>
      </c>
      <c r="C66" t="s">
        <v>19</v>
      </c>
      <c r="D66" t="s">
        <v>20</v>
      </c>
      <c r="E66" t="s">
        <v>21</v>
      </c>
      <c r="F66" t="s">
        <v>97</v>
      </c>
      <c r="G66" s="2">
        <v>624524.5</v>
      </c>
      <c r="H66" s="2">
        <v>97.686700000000002</v>
      </c>
      <c r="I66">
        <v>7.69</v>
      </c>
      <c r="J66">
        <v>226.34</v>
      </c>
      <c r="K66">
        <v>6.2481999999999998</v>
      </c>
      <c r="L66">
        <v>10.51</v>
      </c>
      <c r="M66">
        <v>7.0419999999999996E-3</v>
      </c>
      <c r="N66">
        <v>-1.0026E-2</v>
      </c>
      <c r="O66">
        <v>610077.37474150001</v>
      </c>
      <c r="P66">
        <v>4.0312244023382098E-4</v>
      </c>
      <c r="Q66">
        <v>9.5076216430602292E-3</v>
      </c>
    </row>
    <row r="67" spans="1:17" hidden="1">
      <c r="A67" t="s">
        <v>184</v>
      </c>
      <c r="B67" t="s">
        <v>185</v>
      </c>
      <c r="C67" t="s">
        <v>68</v>
      </c>
      <c r="D67" t="s">
        <v>102</v>
      </c>
      <c r="E67" t="s">
        <v>47</v>
      </c>
      <c r="F67" t="s">
        <v>48</v>
      </c>
      <c r="G67" s="2">
        <v>12737382.560000001</v>
      </c>
      <c r="H67" s="2">
        <v>96.363500000000002</v>
      </c>
      <c r="I67">
        <v>9.7200000000000006</v>
      </c>
      <c r="J67">
        <v>120.35</v>
      </c>
      <c r="K67">
        <v>5.1957000000000004</v>
      </c>
      <c r="L67">
        <v>15.58</v>
      </c>
      <c r="M67">
        <v>7.4790000000000004E-3</v>
      </c>
      <c r="N67">
        <v>1.683E-3</v>
      </c>
      <c r="O67">
        <v>12274187.6432056</v>
      </c>
      <c r="P67">
        <v>8.1104474276126205E-3</v>
      </c>
      <c r="Q67">
        <v>1.2425902735303701E-2</v>
      </c>
    </row>
    <row r="68" spans="1:17" hidden="1">
      <c r="A68" t="s">
        <v>186</v>
      </c>
      <c r="B68" t="s">
        <v>187</v>
      </c>
      <c r="C68" t="s">
        <v>19</v>
      </c>
      <c r="D68" t="s">
        <v>91</v>
      </c>
      <c r="E68" t="s">
        <v>21</v>
      </c>
      <c r="F68" t="s">
        <v>48</v>
      </c>
      <c r="G68" s="2">
        <v>8146948.6200000001</v>
      </c>
      <c r="H68" s="2">
        <v>106.003</v>
      </c>
      <c r="I68">
        <v>2.16</v>
      </c>
      <c r="J68">
        <v>122.4</v>
      </c>
      <c r="K68">
        <v>5.6483999999999996</v>
      </c>
      <c r="L68">
        <v>7.93</v>
      </c>
      <c r="M68">
        <v>4.9569999999999996E-3</v>
      </c>
      <c r="N68">
        <v>-4.5269999999999998E-3</v>
      </c>
      <c r="O68">
        <v>8636009.9456586</v>
      </c>
      <c r="P68">
        <v>5.7064391293851196E-3</v>
      </c>
      <c r="Q68">
        <v>4.27996468056056E-3</v>
      </c>
    </row>
    <row r="69" spans="1:17" hidden="1">
      <c r="A69" t="s">
        <v>188</v>
      </c>
      <c r="B69" t="s">
        <v>189</v>
      </c>
      <c r="C69" t="s">
        <v>19</v>
      </c>
      <c r="D69" t="s">
        <v>20</v>
      </c>
      <c r="E69" t="s">
        <v>32</v>
      </c>
      <c r="F69" t="s">
        <v>22</v>
      </c>
      <c r="G69" s="2">
        <v>13348266.67</v>
      </c>
      <c r="H69" s="2">
        <v>90.391900000000007</v>
      </c>
      <c r="I69">
        <v>1.27</v>
      </c>
      <c r="J69">
        <v>387.91</v>
      </c>
      <c r="K69">
        <v>7.6913</v>
      </c>
      <c r="L69">
        <v>18.78</v>
      </c>
      <c r="M69">
        <v>1.3566999999999999E-2</v>
      </c>
      <c r="N69">
        <v>-7.6239999999999997E-3</v>
      </c>
      <c r="O69">
        <v>12065751.8600797</v>
      </c>
      <c r="P69">
        <v>7.9727187639962206E-3</v>
      </c>
      <c r="Q69">
        <v>4.6960236904003303E-3</v>
      </c>
    </row>
    <row r="70" spans="1:17" hidden="1">
      <c r="A70" t="s">
        <v>190</v>
      </c>
      <c r="B70" t="s">
        <v>191</v>
      </c>
      <c r="C70" t="s">
        <v>54</v>
      </c>
      <c r="D70" t="s">
        <v>105</v>
      </c>
      <c r="E70" t="s">
        <v>47</v>
      </c>
      <c r="F70" t="s">
        <v>76</v>
      </c>
      <c r="G70" s="2">
        <v>16920782.59</v>
      </c>
      <c r="H70" s="2">
        <v>96.483699999999999</v>
      </c>
      <c r="I70">
        <v>3.68</v>
      </c>
      <c r="J70">
        <v>125.81</v>
      </c>
      <c r="K70">
        <v>5.2965</v>
      </c>
      <c r="L70">
        <v>12.7</v>
      </c>
      <c r="M70">
        <v>1.524E-3</v>
      </c>
      <c r="N70">
        <v>-2.9689999999999999E-3</v>
      </c>
      <c r="O70">
        <v>16325797.1117878</v>
      </c>
      <c r="P70">
        <v>1.0787640130491201E-2</v>
      </c>
      <c r="Q70">
        <v>8.9713416152168097E-4</v>
      </c>
    </row>
    <row r="71" spans="1:17" hidden="1">
      <c r="A71" t="s">
        <v>192</v>
      </c>
      <c r="B71" t="s">
        <v>193</v>
      </c>
      <c r="C71" t="s">
        <v>54</v>
      </c>
      <c r="D71" t="s">
        <v>157</v>
      </c>
      <c r="E71" t="s">
        <v>21</v>
      </c>
      <c r="F71" t="s">
        <v>33</v>
      </c>
      <c r="G71" s="2">
        <v>19943927.75</v>
      </c>
      <c r="H71" s="2">
        <v>91.840699999999998</v>
      </c>
      <c r="I71">
        <v>5.4</v>
      </c>
      <c r="J71">
        <v>208.83</v>
      </c>
      <c r="K71">
        <v>5.6688999999999998</v>
      </c>
      <c r="L71">
        <v>16.88</v>
      </c>
      <c r="M71">
        <v>-1.1084E-2</v>
      </c>
      <c r="N71">
        <v>-1.4992E-2</v>
      </c>
      <c r="O71">
        <v>18316642.853094202</v>
      </c>
      <c r="P71">
        <v>1.21031365356884E-2</v>
      </c>
      <c r="Q71">
        <v>3.27822645354418E-3</v>
      </c>
    </row>
    <row r="72" spans="1:17" hidden="1">
      <c r="A72" t="s">
        <v>194</v>
      </c>
      <c r="B72" t="s">
        <v>195</v>
      </c>
      <c r="C72" t="s">
        <v>36</v>
      </c>
      <c r="D72" t="s">
        <v>37</v>
      </c>
      <c r="E72" t="s">
        <v>32</v>
      </c>
      <c r="F72" t="s">
        <v>97</v>
      </c>
      <c r="G72" s="2">
        <v>11383734.869999999</v>
      </c>
      <c r="H72" s="2">
        <v>106.6054</v>
      </c>
      <c r="I72">
        <v>5.8</v>
      </c>
      <c r="J72">
        <v>391.08</v>
      </c>
      <c r="K72">
        <v>7.1158999999999999</v>
      </c>
      <c r="L72">
        <v>17.12</v>
      </c>
      <c r="M72">
        <v>-3.6319999999999998E-3</v>
      </c>
      <c r="N72">
        <v>7.1000000000000002E-4</v>
      </c>
      <c r="O72">
        <v>12135676.0931029</v>
      </c>
      <c r="P72">
        <v>8.0189227843629005E-3</v>
      </c>
      <c r="Q72">
        <v>6.9440804854571901E-3</v>
      </c>
    </row>
    <row r="73" spans="1:17" hidden="1">
      <c r="A73" t="s">
        <v>196</v>
      </c>
      <c r="B73" t="s">
        <v>197</v>
      </c>
      <c r="C73" t="s">
        <v>54</v>
      </c>
      <c r="D73" t="s">
        <v>157</v>
      </c>
      <c r="E73" t="s">
        <v>27</v>
      </c>
      <c r="F73" t="s">
        <v>22</v>
      </c>
      <c r="G73" s="2">
        <v>1542963.29</v>
      </c>
      <c r="H73" s="2">
        <v>87.499600000000001</v>
      </c>
      <c r="I73">
        <v>5.81</v>
      </c>
      <c r="J73">
        <v>59.48</v>
      </c>
      <c r="K73">
        <v>4.2976000000000001</v>
      </c>
      <c r="L73">
        <v>13.36</v>
      </c>
      <c r="M73">
        <v>3.6359999999999999E-3</v>
      </c>
      <c r="N73">
        <v>-4.7199999999999998E-4</v>
      </c>
      <c r="O73">
        <v>1350086.7068968399</v>
      </c>
      <c r="P73">
        <v>8.9210036356799196E-4</v>
      </c>
      <c r="Q73">
        <v>1.0209909317184801E-2</v>
      </c>
    </row>
    <row r="74" spans="1:17" hidden="1">
      <c r="A74" t="s">
        <v>198</v>
      </c>
      <c r="B74" t="s">
        <v>199</v>
      </c>
      <c r="C74" t="s">
        <v>25</v>
      </c>
      <c r="D74" t="s">
        <v>26</v>
      </c>
      <c r="E74" t="s">
        <v>51</v>
      </c>
      <c r="F74" t="s">
        <v>97</v>
      </c>
      <c r="G74" s="2">
        <v>3464484.64</v>
      </c>
      <c r="H74" s="2">
        <v>101.255</v>
      </c>
      <c r="I74">
        <v>1.95</v>
      </c>
      <c r="J74">
        <v>504.01</v>
      </c>
      <c r="K74">
        <v>9.8588000000000005</v>
      </c>
      <c r="L74">
        <v>13.88</v>
      </c>
      <c r="M74">
        <v>-5.0090000000000004E-3</v>
      </c>
      <c r="N74" s="1">
        <v>-3.8999999999999999E-5</v>
      </c>
      <c r="O74">
        <v>3507963.9222320002</v>
      </c>
      <c r="P74">
        <v>2.3179665975673401E-3</v>
      </c>
      <c r="Q74">
        <v>1.6493334000787E-3</v>
      </c>
    </row>
    <row r="75" spans="1:17" hidden="1">
      <c r="A75" t="s">
        <v>200</v>
      </c>
      <c r="B75" t="s">
        <v>201</v>
      </c>
      <c r="C75" t="s">
        <v>54</v>
      </c>
      <c r="D75" t="s">
        <v>157</v>
      </c>
      <c r="E75" t="s">
        <v>21</v>
      </c>
      <c r="F75" t="s">
        <v>76</v>
      </c>
      <c r="G75" s="2">
        <v>6855546.5499999998</v>
      </c>
      <c r="H75" s="2">
        <v>101.288</v>
      </c>
      <c r="I75">
        <v>3.23</v>
      </c>
      <c r="J75">
        <v>149.32</v>
      </c>
      <c r="K75">
        <v>5.2412000000000001</v>
      </c>
      <c r="L75">
        <v>13.04</v>
      </c>
      <c r="M75">
        <v>-1.1127E-2</v>
      </c>
      <c r="N75">
        <v>1.4156999999999999E-2</v>
      </c>
      <c r="O75">
        <v>6943845.9895639904</v>
      </c>
      <c r="P75">
        <v>4.5883034772547498E-3</v>
      </c>
      <c r="Q75">
        <v>9.987648794783149E-4</v>
      </c>
    </row>
    <row r="76" spans="1:17" hidden="1">
      <c r="A76" t="s">
        <v>202</v>
      </c>
      <c r="B76" t="s">
        <v>203</v>
      </c>
      <c r="C76" t="s">
        <v>41</v>
      </c>
      <c r="D76" t="s">
        <v>96</v>
      </c>
      <c r="E76" t="s">
        <v>47</v>
      </c>
      <c r="F76" t="s">
        <v>22</v>
      </c>
      <c r="G76" s="2">
        <v>16514517.439999999</v>
      </c>
      <c r="H76" s="2">
        <v>93.552000000000007</v>
      </c>
      <c r="I76">
        <v>1.3</v>
      </c>
      <c r="J76">
        <v>131</v>
      </c>
      <c r="K76">
        <v>5.3768000000000002</v>
      </c>
      <c r="L76">
        <v>12.39</v>
      </c>
      <c r="M76">
        <v>-1.6590000000000001E-3</v>
      </c>
      <c r="N76">
        <v>-6.4510000000000001E-3</v>
      </c>
      <c r="O76">
        <v>15449661.3554688</v>
      </c>
      <c r="P76">
        <v>1.02087135898814E-2</v>
      </c>
      <c r="Q76">
        <v>7.3263194627318099E-3</v>
      </c>
    </row>
    <row r="77" spans="1:17" hidden="1">
      <c r="A77" t="s">
        <v>204</v>
      </c>
      <c r="B77" t="s">
        <v>205</v>
      </c>
      <c r="C77" t="s">
        <v>36</v>
      </c>
      <c r="D77" t="s">
        <v>37</v>
      </c>
      <c r="E77" t="s">
        <v>21</v>
      </c>
      <c r="F77" t="s">
        <v>38</v>
      </c>
      <c r="G77" s="2">
        <v>6715673.8099999996</v>
      </c>
      <c r="H77" s="2">
        <v>104.7681</v>
      </c>
      <c r="I77">
        <v>7.52</v>
      </c>
      <c r="J77">
        <v>160.99</v>
      </c>
      <c r="K77">
        <v>5.8091999999999997</v>
      </c>
      <c r="L77">
        <v>9.27</v>
      </c>
      <c r="M77">
        <v>7.4419999999999998E-3</v>
      </c>
      <c r="N77">
        <v>2.3809999999999999E-3</v>
      </c>
      <c r="O77">
        <v>7035883.8529346101</v>
      </c>
      <c r="P77">
        <v>4.6491195796246904E-3</v>
      </c>
      <c r="Q77" s="1">
        <v>1.2672942640435399E-5</v>
      </c>
    </row>
    <row r="78" spans="1:17" hidden="1">
      <c r="A78" t="s">
        <v>206</v>
      </c>
      <c r="B78" t="s">
        <v>207</v>
      </c>
      <c r="C78" t="s">
        <v>54</v>
      </c>
      <c r="D78" t="s">
        <v>55</v>
      </c>
      <c r="E78" t="s">
        <v>208</v>
      </c>
      <c r="F78" t="s">
        <v>22</v>
      </c>
      <c r="G78" s="2">
        <v>19609421.420000002</v>
      </c>
      <c r="H78" s="2">
        <v>92.320599999999999</v>
      </c>
      <c r="I78">
        <v>5.77</v>
      </c>
      <c r="J78">
        <v>1184.24</v>
      </c>
      <c r="K78">
        <v>14.993600000000001</v>
      </c>
      <c r="L78">
        <v>7.33</v>
      </c>
      <c r="M78">
        <v>1.2145E-2</v>
      </c>
      <c r="N78">
        <v>1.2995E-2</v>
      </c>
      <c r="O78">
        <v>18103535.511472501</v>
      </c>
      <c r="P78">
        <v>1.19623210340109E-2</v>
      </c>
      <c r="Q78">
        <v>1.3232148846744399E-3</v>
      </c>
    </row>
    <row r="79" spans="1:17" hidden="1">
      <c r="A79" t="s">
        <v>209</v>
      </c>
      <c r="B79" t="s">
        <v>210</v>
      </c>
      <c r="C79" t="s">
        <v>19</v>
      </c>
      <c r="D79" t="s">
        <v>20</v>
      </c>
      <c r="E79" t="s">
        <v>47</v>
      </c>
      <c r="F79" t="s">
        <v>22</v>
      </c>
      <c r="G79" s="2">
        <v>8917361.1500000004</v>
      </c>
      <c r="H79" s="2">
        <v>103.636</v>
      </c>
      <c r="I79">
        <v>5.49</v>
      </c>
      <c r="J79">
        <v>112.97</v>
      </c>
      <c r="K79">
        <v>5.0868000000000002</v>
      </c>
      <c r="L79">
        <v>7.66</v>
      </c>
      <c r="M79">
        <v>-2.6050000000000001E-3</v>
      </c>
      <c r="N79">
        <v>-4.2789999999999998E-3</v>
      </c>
      <c r="O79">
        <v>9241596.4014139995</v>
      </c>
      <c r="P79">
        <v>6.1065940932044302E-3</v>
      </c>
      <c r="Q79">
        <v>1.98698343902892E-4</v>
      </c>
    </row>
    <row r="80" spans="1:17">
      <c r="A80" t="s">
        <v>211</v>
      </c>
      <c r="B80" t="s">
        <v>212</v>
      </c>
      <c r="C80" t="s">
        <v>54</v>
      </c>
      <c r="D80" t="s">
        <v>55</v>
      </c>
      <c r="E80" t="s">
        <v>62</v>
      </c>
      <c r="F80" t="s">
        <v>76</v>
      </c>
      <c r="G80" s="2">
        <v>12316219.51</v>
      </c>
      <c r="H80" s="2">
        <v>104.7544</v>
      </c>
      <c r="I80">
        <v>3.64</v>
      </c>
      <c r="J80">
        <v>27.95</v>
      </c>
      <c r="K80">
        <v>4.2112999999999996</v>
      </c>
      <c r="L80">
        <v>4.8600000000000003</v>
      </c>
      <c r="M80">
        <v>2.1930000000000001E-3</v>
      </c>
      <c r="N80">
        <v>4.5789999999999997E-3</v>
      </c>
      <c r="O80">
        <v>12901781.850383401</v>
      </c>
      <c r="P80">
        <v>8.5251445115379805E-3</v>
      </c>
      <c r="Q80">
        <v>1.2297025594387801E-3</v>
      </c>
    </row>
    <row r="81" spans="1:17" hidden="1">
      <c r="A81" t="s">
        <v>213</v>
      </c>
      <c r="B81" t="s">
        <v>214</v>
      </c>
      <c r="C81" t="s">
        <v>68</v>
      </c>
      <c r="D81" t="s">
        <v>75</v>
      </c>
      <c r="E81" t="s">
        <v>21</v>
      </c>
      <c r="F81" t="s">
        <v>48</v>
      </c>
      <c r="G81" s="2">
        <v>12562921.880000001</v>
      </c>
      <c r="H81" s="2">
        <v>102.0035</v>
      </c>
      <c r="I81">
        <v>8.81</v>
      </c>
      <c r="J81">
        <v>228.81</v>
      </c>
      <c r="K81">
        <v>6.0461999999999998</v>
      </c>
      <c r="L81">
        <v>17.03</v>
      </c>
      <c r="M81">
        <v>-4.6940000000000003E-3</v>
      </c>
      <c r="N81">
        <v>3.764E-3</v>
      </c>
      <c r="O81">
        <v>12814620.0198658</v>
      </c>
      <c r="P81">
        <v>8.4675503582907694E-3</v>
      </c>
      <c r="Q81">
        <v>1.34741281918162E-3</v>
      </c>
    </row>
    <row r="82" spans="1:17" hidden="1">
      <c r="A82" t="s">
        <v>215</v>
      </c>
      <c r="B82" t="s">
        <v>216</v>
      </c>
      <c r="C82" t="s">
        <v>54</v>
      </c>
      <c r="D82" t="s">
        <v>157</v>
      </c>
      <c r="E82" t="s">
        <v>32</v>
      </c>
      <c r="F82" t="s">
        <v>33</v>
      </c>
      <c r="G82" s="2">
        <v>6841206.25</v>
      </c>
      <c r="H82" s="2">
        <v>101.41840000000001</v>
      </c>
      <c r="I82">
        <v>2.4700000000000002</v>
      </c>
      <c r="J82">
        <v>443.88</v>
      </c>
      <c r="K82">
        <v>6.6452999999999998</v>
      </c>
      <c r="L82">
        <v>9.94</v>
      </c>
      <c r="M82">
        <v>-3.2420000000000001E-3</v>
      </c>
      <c r="N82">
        <v>2.826E-3</v>
      </c>
      <c r="O82">
        <v>6938241.9194499999</v>
      </c>
      <c r="P82">
        <v>4.58460046102577E-3</v>
      </c>
      <c r="Q82">
        <v>3.3034517910471499E-3</v>
      </c>
    </row>
    <row r="83" spans="1:17" hidden="1">
      <c r="A83" t="s">
        <v>217</v>
      </c>
      <c r="B83" t="s">
        <v>218</v>
      </c>
      <c r="C83" t="s">
        <v>41</v>
      </c>
      <c r="D83" t="s">
        <v>96</v>
      </c>
      <c r="E83" t="s">
        <v>47</v>
      </c>
      <c r="F83" t="s">
        <v>97</v>
      </c>
      <c r="G83" s="2">
        <v>7278574.6799999997</v>
      </c>
      <c r="H83" s="2">
        <v>93.627099999999999</v>
      </c>
      <c r="I83">
        <v>9.76</v>
      </c>
      <c r="J83">
        <v>87.91</v>
      </c>
      <c r="K83">
        <v>5.3217999999999996</v>
      </c>
      <c r="L83">
        <v>16.32</v>
      </c>
      <c r="M83">
        <v>9.0700000000000004E-4</v>
      </c>
      <c r="N83">
        <v>-3.0200000000000001E-3</v>
      </c>
      <c r="O83">
        <v>6814718.3942182697</v>
      </c>
      <c r="P83">
        <v>4.5029794946052498E-3</v>
      </c>
      <c r="Q83">
        <v>3.4665864982967201E-3</v>
      </c>
    </row>
    <row r="84" spans="1:17" hidden="1">
      <c r="A84" t="s">
        <v>219</v>
      </c>
      <c r="B84" t="s">
        <v>220</v>
      </c>
      <c r="C84" t="s">
        <v>19</v>
      </c>
      <c r="D84" t="s">
        <v>31</v>
      </c>
      <c r="E84" t="s">
        <v>27</v>
      </c>
      <c r="F84" t="s">
        <v>76</v>
      </c>
      <c r="G84" s="2">
        <v>17891989.719999999</v>
      </c>
      <c r="H84" s="2">
        <v>94.916300000000007</v>
      </c>
      <c r="I84">
        <v>8.8000000000000007</v>
      </c>
      <c r="J84">
        <v>61.3</v>
      </c>
      <c r="K84">
        <v>4.2225999999999999</v>
      </c>
      <c r="L84">
        <v>18.350000000000001</v>
      </c>
      <c r="M84">
        <v>8.5499999999999997E-4</v>
      </c>
      <c r="N84">
        <v>-7.8329999999999997E-3</v>
      </c>
      <c r="O84">
        <v>16982414.638604298</v>
      </c>
      <c r="P84">
        <v>1.12215150300853E-2</v>
      </c>
      <c r="Q84">
        <v>1.39654301976241E-2</v>
      </c>
    </row>
    <row r="85" spans="1:17" hidden="1">
      <c r="A85" t="s">
        <v>221</v>
      </c>
      <c r="B85" t="s">
        <v>222</v>
      </c>
      <c r="C85" t="s">
        <v>54</v>
      </c>
      <c r="D85" t="s">
        <v>55</v>
      </c>
      <c r="E85" t="s">
        <v>21</v>
      </c>
      <c r="F85" t="s">
        <v>22</v>
      </c>
      <c r="G85" s="2">
        <v>545618.12</v>
      </c>
      <c r="H85" s="2">
        <v>86.944100000000006</v>
      </c>
      <c r="I85">
        <v>7.34</v>
      </c>
      <c r="J85">
        <v>179.76</v>
      </c>
      <c r="K85">
        <v>5.1139000000000001</v>
      </c>
      <c r="L85">
        <v>15.32</v>
      </c>
      <c r="M85">
        <v>-1.9620000000000002E-3</v>
      </c>
      <c r="N85">
        <v>-4.2119999999999996E-3</v>
      </c>
      <c r="O85">
        <v>474382.76387092</v>
      </c>
      <c r="P85">
        <v>3.1345915336974901E-4</v>
      </c>
      <c r="Q85">
        <v>4.8059240298617498E-3</v>
      </c>
    </row>
    <row r="86" spans="1:17" hidden="1">
      <c r="A86" t="s">
        <v>223</v>
      </c>
      <c r="B86" t="s">
        <v>224</v>
      </c>
      <c r="C86" t="s">
        <v>41</v>
      </c>
      <c r="D86" t="s">
        <v>42</v>
      </c>
      <c r="E86" t="s">
        <v>21</v>
      </c>
      <c r="F86" t="s">
        <v>76</v>
      </c>
      <c r="G86" s="2">
        <v>15532771.85</v>
      </c>
      <c r="H86" s="2">
        <v>95.109499999999997</v>
      </c>
      <c r="I86">
        <v>6.7</v>
      </c>
      <c r="J86">
        <v>194.53</v>
      </c>
      <c r="K86">
        <v>6.2572000000000001</v>
      </c>
      <c r="L86">
        <v>13.78</v>
      </c>
      <c r="M86">
        <v>-1.4338E-2</v>
      </c>
      <c r="N86">
        <v>-6.5269999999999998E-3</v>
      </c>
      <c r="O86">
        <v>14773141.6426757</v>
      </c>
      <c r="P86">
        <v>9.7616878702291299E-3</v>
      </c>
      <c r="Q86">
        <v>8.6558304874816607E-3</v>
      </c>
    </row>
    <row r="87" spans="1:17" hidden="1">
      <c r="A87" t="s">
        <v>225</v>
      </c>
      <c r="B87" t="s">
        <v>226</v>
      </c>
      <c r="C87" t="s">
        <v>19</v>
      </c>
      <c r="D87" t="s">
        <v>20</v>
      </c>
      <c r="E87" t="s">
        <v>27</v>
      </c>
      <c r="F87" t="s">
        <v>97</v>
      </c>
      <c r="G87" s="2">
        <v>15735272.98</v>
      </c>
      <c r="H87" s="2">
        <v>108.6549</v>
      </c>
      <c r="I87">
        <v>1.83</v>
      </c>
      <c r="J87">
        <v>67.69</v>
      </c>
      <c r="K87">
        <v>4.2126999999999999</v>
      </c>
      <c r="L87">
        <v>13.17</v>
      </c>
      <c r="M87">
        <v>1.5009E-2</v>
      </c>
      <c r="N87">
        <v>3.2320000000000001E-3</v>
      </c>
      <c r="O87">
        <v>17097145.121146001</v>
      </c>
      <c r="P87">
        <v>1.1297325794434701E-2</v>
      </c>
      <c r="Q87">
        <v>7.4063636048069795E-4</v>
      </c>
    </row>
    <row r="88" spans="1:17" hidden="1">
      <c r="A88" t="s">
        <v>227</v>
      </c>
      <c r="B88" t="s">
        <v>228</v>
      </c>
      <c r="C88" t="s">
        <v>54</v>
      </c>
      <c r="D88" t="s">
        <v>105</v>
      </c>
      <c r="E88" t="s">
        <v>32</v>
      </c>
      <c r="F88" t="s">
        <v>97</v>
      </c>
      <c r="G88" s="2">
        <v>6665044.0499999998</v>
      </c>
      <c r="H88" s="2">
        <v>108.34690000000001</v>
      </c>
      <c r="I88">
        <v>9.43</v>
      </c>
      <c r="J88">
        <v>274.42</v>
      </c>
      <c r="K88">
        <v>7.1304999999999996</v>
      </c>
      <c r="L88">
        <v>10.81</v>
      </c>
      <c r="M88">
        <v>-4.2100000000000002E-3</v>
      </c>
      <c r="N88">
        <v>4.6500000000000003E-4</v>
      </c>
      <c r="O88">
        <v>7221368.6118094502</v>
      </c>
      <c r="P88">
        <v>4.7716828342536498E-3</v>
      </c>
      <c r="Q88">
        <v>1.72051487518637E-3</v>
      </c>
    </row>
    <row r="89" spans="1:17">
      <c r="A89" t="s">
        <v>229</v>
      </c>
      <c r="B89" t="s">
        <v>230</v>
      </c>
      <c r="C89" t="s">
        <v>54</v>
      </c>
      <c r="D89" t="s">
        <v>55</v>
      </c>
      <c r="E89" t="s">
        <v>62</v>
      </c>
      <c r="F89" t="s">
        <v>38</v>
      </c>
      <c r="G89" s="2">
        <v>9067061.7899999991</v>
      </c>
      <c r="H89" s="2">
        <v>87.772300000000001</v>
      </c>
      <c r="I89">
        <v>3.12</v>
      </c>
      <c r="J89">
        <v>21.62</v>
      </c>
      <c r="K89">
        <v>4.2107000000000001</v>
      </c>
      <c r="L89">
        <v>8.19</v>
      </c>
      <c r="M89">
        <v>1.704E-3</v>
      </c>
      <c r="N89">
        <v>-3.9399999999999998E-4</v>
      </c>
      <c r="O89">
        <v>7958368.6755041601</v>
      </c>
      <c r="P89">
        <v>5.2586723153091996E-3</v>
      </c>
      <c r="Q89">
        <v>8.17517084447731E-3</v>
      </c>
    </row>
    <row r="90" spans="1:17" hidden="1">
      <c r="A90" t="s">
        <v>231</v>
      </c>
      <c r="B90" t="s">
        <v>232</v>
      </c>
      <c r="C90" t="s">
        <v>36</v>
      </c>
      <c r="D90" t="s">
        <v>65</v>
      </c>
      <c r="E90" t="s">
        <v>47</v>
      </c>
      <c r="F90" t="s">
        <v>38</v>
      </c>
      <c r="G90" s="2">
        <v>10919752.359999999</v>
      </c>
      <c r="H90" s="2">
        <v>102.2929</v>
      </c>
      <c r="I90">
        <v>1.33</v>
      </c>
      <c r="J90">
        <v>71.09</v>
      </c>
      <c r="K90">
        <v>4.5754000000000001</v>
      </c>
      <c r="L90">
        <v>4.7</v>
      </c>
      <c r="M90">
        <v>3.0560000000000001E-3</v>
      </c>
      <c r="N90">
        <v>1.753E-3</v>
      </c>
      <c r="O90">
        <v>11170131.361862401</v>
      </c>
      <c r="P90">
        <v>7.3809172389556199E-3</v>
      </c>
      <c r="Q90">
        <v>3.6536866864335702E-4</v>
      </c>
    </row>
    <row r="91" spans="1:17" hidden="1">
      <c r="A91" t="s">
        <v>233</v>
      </c>
      <c r="B91" t="s">
        <v>234</v>
      </c>
      <c r="C91" t="s">
        <v>41</v>
      </c>
      <c r="D91" t="s">
        <v>96</v>
      </c>
      <c r="E91" t="s">
        <v>21</v>
      </c>
      <c r="F91" t="s">
        <v>38</v>
      </c>
      <c r="G91" s="2">
        <v>4047598.54</v>
      </c>
      <c r="H91" s="2">
        <v>88.881</v>
      </c>
      <c r="I91">
        <v>5.72</v>
      </c>
      <c r="J91">
        <v>172.1</v>
      </c>
      <c r="K91">
        <v>5.8395000000000001</v>
      </c>
      <c r="L91">
        <v>12.57</v>
      </c>
      <c r="M91">
        <v>-1.076E-2</v>
      </c>
      <c r="N91">
        <v>-5.045E-3</v>
      </c>
      <c r="O91">
        <v>3597546.05833739</v>
      </c>
      <c r="P91">
        <v>2.3771600225381802E-3</v>
      </c>
      <c r="Q91">
        <v>4.4901979947843899E-3</v>
      </c>
    </row>
    <row r="92" spans="1:17" hidden="1">
      <c r="A92" t="s">
        <v>235</v>
      </c>
      <c r="B92" t="s">
        <v>236</v>
      </c>
      <c r="C92" t="s">
        <v>68</v>
      </c>
      <c r="D92" t="s">
        <v>69</v>
      </c>
      <c r="E92" t="s">
        <v>21</v>
      </c>
      <c r="F92" t="s">
        <v>33</v>
      </c>
      <c r="G92" s="2">
        <v>8930528.6199999992</v>
      </c>
      <c r="H92" s="2">
        <v>88.776399999999995</v>
      </c>
      <c r="I92">
        <v>7.12</v>
      </c>
      <c r="J92">
        <v>155.52000000000001</v>
      </c>
      <c r="K92">
        <v>6.4263000000000003</v>
      </c>
      <c r="L92">
        <v>15.9</v>
      </c>
      <c r="M92">
        <v>-4.17E-4</v>
      </c>
      <c r="N92">
        <v>4.8329999999999996E-3</v>
      </c>
      <c r="O92">
        <v>7928201.8098056698</v>
      </c>
      <c r="P92">
        <v>5.23873887568651E-3</v>
      </c>
      <c r="Q92">
        <v>6.1606070240933499E-3</v>
      </c>
    </row>
    <row r="93" spans="1:17" hidden="1">
      <c r="A93" t="s">
        <v>237</v>
      </c>
      <c r="B93" t="s">
        <v>238</v>
      </c>
      <c r="C93" t="s">
        <v>68</v>
      </c>
      <c r="D93" t="s">
        <v>75</v>
      </c>
      <c r="E93" t="s">
        <v>32</v>
      </c>
      <c r="F93" t="s">
        <v>22</v>
      </c>
      <c r="G93" s="2">
        <v>3784665.51</v>
      </c>
      <c r="H93" s="2">
        <v>99.676500000000004</v>
      </c>
      <c r="I93">
        <v>6.37</v>
      </c>
      <c r="J93">
        <v>338.88</v>
      </c>
      <c r="K93">
        <v>6.0366999999999997</v>
      </c>
      <c r="L93">
        <v>14.26</v>
      </c>
      <c r="M93">
        <v>1.0652999999999999E-2</v>
      </c>
      <c r="N93">
        <v>5.2839999999999996E-3</v>
      </c>
      <c r="O93">
        <v>3772422.1170751499</v>
      </c>
      <c r="P93">
        <v>2.4927133383232502E-3</v>
      </c>
      <c r="Q93">
        <v>6.2074482602692297E-3</v>
      </c>
    </row>
    <row r="94" spans="1:17" hidden="1">
      <c r="A94" t="s">
        <v>239</v>
      </c>
      <c r="B94" t="s">
        <v>240</v>
      </c>
      <c r="C94" t="s">
        <v>41</v>
      </c>
      <c r="D94" t="s">
        <v>96</v>
      </c>
      <c r="E94" t="s">
        <v>21</v>
      </c>
      <c r="F94" t="s">
        <v>97</v>
      </c>
      <c r="G94" s="2">
        <v>1221648.8799999999</v>
      </c>
      <c r="H94" s="2">
        <v>105.7229</v>
      </c>
      <c r="I94">
        <v>5.27</v>
      </c>
      <c r="J94">
        <v>229.79</v>
      </c>
      <c r="K94">
        <v>5.4786999999999999</v>
      </c>
      <c r="L94">
        <v>18.11</v>
      </c>
      <c r="M94">
        <v>-1.0741000000000001E-2</v>
      </c>
      <c r="N94">
        <v>3.9069999999999999E-3</v>
      </c>
      <c r="O94">
        <v>1291562.6237535099</v>
      </c>
      <c r="P94">
        <v>8.5342925038471898E-4</v>
      </c>
      <c r="Q94">
        <v>1.56251191738205E-4</v>
      </c>
    </row>
    <row r="95" spans="1:17" hidden="1">
      <c r="A95" t="s">
        <v>241</v>
      </c>
      <c r="B95" t="s">
        <v>242</v>
      </c>
      <c r="C95" t="s">
        <v>41</v>
      </c>
      <c r="D95" t="s">
        <v>72</v>
      </c>
      <c r="E95" t="s">
        <v>32</v>
      </c>
      <c r="F95" t="s">
        <v>22</v>
      </c>
      <c r="G95" s="2">
        <v>3654402.12</v>
      </c>
      <c r="H95" s="2">
        <v>106.8334</v>
      </c>
      <c r="I95">
        <v>5.59</v>
      </c>
      <c r="J95">
        <v>305.94</v>
      </c>
      <c r="K95">
        <v>8.3559999999999999</v>
      </c>
      <c r="L95">
        <v>17.66</v>
      </c>
      <c r="M95">
        <v>3.4220000000000001E-3</v>
      </c>
      <c r="N95">
        <v>1.0215E-2</v>
      </c>
      <c r="O95">
        <v>3904122.0344680799</v>
      </c>
      <c r="P95">
        <v>2.57973704101429E-3</v>
      </c>
      <c r="Q95">
        <v>2.6183501647850799E-3</v>
      </c>
    </row>
    <row r="96" spans="1:17" hidden="1">
      <c r="A96" t="s">
        <v>243</v>
      </c>
      <c r="B96" t="s">
        <v>244</v>
      </c>
      <c r="C96" t="s">
        <v>54</v>
      </c>
      <c r="D96" t="s">
        <v>157</v>
      </c>
      <c r="E96" t="s">
        <v>51</v>
      </c>
      <c r="F96" t="s">
        <v>28</v>
      </c>
      <c r="G96" s="2">
        <v>15905593.51</v>
      </c>
      <c r="H96" s="2">
        <v>105.1481</v>
      </c>
      <c r="I96">
        <v>8.36</v>
      </c>
      <c r="J96">
        <v>669.49</v>
      </c>
      <c r="K96">
        <v>10.604200000000001</v>
      </c>
      <c r="L96">
        <v>13.41</v>
      </c>
      <c r="M96">
        <v>-3.5569999999999998E-3</v>
      </c>
      <c r="N96">
        <v>-1.2539999999999999E-3</v>
      </c>
      <c r="O96">
        <v>16724429.369488301</v>
      </c>
      <c r="P96">
        <v>1.1051045421579499E-2</v>
      </c>
      <c r="Q96">
        <v>6.8154912319775898E-3</v>
      </c>
    </row>
    <row r="97" spans="1:17" hidden="1">
      <c r="A97" t="s">
        <v>245</v>
      </c>
      <c r="B97" t="s">
        <v>246</v>
      </c>
      <c r="C97" t="s">
        <v>68</v>
      </c>
      <c r="D97" t="s">
        <v>69</v>
      </c>
      <c r="E97" t="s">
        <v>21</v>
      </c>
      <c r="F97" t="s">
        <v>22</v>
      </c>
      <c r="G97" s="2">
        <v>16408745.939999999</v>
      </c>
      <c r="H97" s="2">
        <v>88.847399999999993</v>
      </c>
      <c r="I97">
        <v>2.57</v>
      </c>
      <c r="J97">
        <v>218.57</v>
      </c>
      <c r="K97">
        <v>6.0439999999999996</v>
      </c>
      <c r="L97">
        <v>10.08</v>
      </c>
      <c r="M97">
        <v>-5.1419999999999999E-3</v>
      </c>
      <c r="N97">
        <v>-4.5250000000000004E-3</v>
      </c>
      <c r="O97">
        <v>14578744.1402955</v>
      </c>
      <c r="P97">
        <v>9.6332353185047404E-3</v>
      </c>
      <c r="Q97">
        <v>1.0866450199593801E-3</v>
      </c>
    </row>
    <row r="98" spans="1:17">
      <c r="A98" t="s">
        <v>247</v>
      </c>
      <c r="B98" t="s">
        <v>248</v>
      </c>
      <c r="C98" t="s">
        <v>25</v>
      </c>
      <c r="D98" t="s">
        <v>84</v>
      </c>
      <c r="E98" t="s">
        <v>62</v>
      </c>
      <c r="F98" t="s">
        <v>33</v>
      </c>
      <c r="G98" s="2">
        <v>14048306.189999999</v>
      </c>
      <c r="H98" s="2">
        <v>99.971599999999995</v>
      </c>
      <c r="I98">
        <v>6.44</v>
      </c>
      <c r="J98">
        <v>28.12</v>
      </c>
      <c r="K98">
        <v>4.4428999999999998</v>
      </c>
      <c r="L98">
        <v>14.22</v>
      </c>
      <c r="M98">
        <v>2.8440000000000002E-3</v>
      </c>
      <c r="N98">
        <v>6.6759999999999996E-3</v>
      </c>
      <c r="O98">
        <v>14044316.471042</v>
      </c>
      <c r="P98">
        <v>9.2801001342189098E-3</v>
      </c>
      <c r="Q98">
        <v>8.0066238764354199E-3</v>
      </c>
    </row>
    <row r="99" spans="1:17">
      <c r="A99" t="s">
        <v>249</v>
      </c>
      <c r="B99" t="s">
        <v>250</v>
      </c>
      <c r="C99" t="s">
        <v>54</v>
      </c>
      <c r="D99" t="s">
        <v>105</v>
      </c>
      <c r="E99" t="s">
        <v>62</v>
      </c>
      <c r="F99" t="s">
        <v>28</v>
      </c>
      <c r="G99" s="2">
        <v>16285270.4</v>
      </c>
      <c r="H99" s="2">
        <v>102.7787</v>
      </c>
      <c r="I99">
        <v>7.26</v>
      </c>
      <c r="J99">
        <v>33.04</v>
      </c>
      <c r="K99">
        <v>3.7202000000000002</v>
      </c>
      <c r="L99">
        <v>18.34</v>
      </c>
      <c r="M99">
        <v>-5.2620000000000002E-3</v>
      </c>
      <c r="N99">
        <v>-1.49E-3</v>
      </c>
      <c r="O99">
        <v>16737789.2086048</v>
      </c>
      <c r="P99">
        <v>1.1059873237802101E-2</v>
      </c>
      <c r="Q99">
        <v>9.2278110714295591E-3</v>
      </c>
    </row>
    <row r="100" spans="1:17" hidden="1">
      <c r="A100" t="s">
        <v>251</v>
      </c>
      <c r="B100" t="s">
        <v>252</v>
      </c>
      <c r="C100" t="s">
        <v>41</v>
      </c>
      <c r="D100" t="s">
        <v>42</v>
      </c>
      <c r="E100" t="s">
        <v>32</v>
      </c>
      <c r="F100" t="s">
        <v>38</v>
      </c>
      <c r="G100" s="2">
        <v>11117537.41</v>
      </c>
      <c r="H100" s="2">
        <v>88.005200000000002</v>
      </c>
      <c r="I100">
        <v>7.86</v>
      </c>
      <c r="J100">
        <v>337.12</v>
      </c>
      <c r="K100">
        <v>8.0446000000000009</v>
      </c>
      <c r="L100">
        <v>17.75</v>
      </c>
      <c r="M100">
        <v>-9.724E-3</v>
      </c>
      <c r="N100">
        <v>-1.1106E-2</v>
      </c>
      <c r="O100">
        <v>9784011.0327453203</v>
      </c>
      <c r="P100">
        <v>6.4650068435436201E-3</v>
      </c>
      <c r="Q100">
        <v>2.7045584604409E-2</v>
      </c>
    </row>
    <row r="101" spans="1:17" hidden="1">
      <c r="A101" t="s">
        <v>253</v>
      </c>
      <c r="B101" t="s">
        <v>254</v>
      </c>
      <c r="C101" t="s">
        <v>36</v>
      </c>
      <c r="D101" t="s">
        <v>79</v>
      </c>
      <c r="E101" t="s">
        <v>32</v>
      </c>
      <c r="F101" t="s">
        <v>33</v>
      </c>
      <c r="G101" s="2">
        <v>4634874.38</v>
      </c>
      <c r="H101" s="2">
        <v>90.701999999999998</v>
      </c>
      <c r="I101">
        <v>9.56</v>
      </c>
      <c r="J101">
        <v>413.84</v>
      </c>
      <c r="K101">
        <v>8.2104999999999997</v>
      </c>
      <c r="L101">
        <v>16.239999999999998</v>
      </c>
      <c r="M101">
        <v>-1.0721E-2</v>
      </c>
      <c r="N101">
        <v>1.2647E-2</v>
      </c>
      <c r="O101">
        <v>4203923.7601475902</v>
      </c>
      <c r="P101">
        <v>2.7778378201055399E-3</v>
      </c>
      <c r="Q101">
        <v>1.58624445245781E-3</v>
      </c>
    </row>
    <row r="102" spans="1:17">
      <c r="A102" t="s">
        <v>255</v>
      </c>
      <c r="B102" t="s">
        <v>256</v>
      </c>
      <c r="C102" t="s">
        <v>36</v>
      </c>
      <c r="D102" t="s">
        <v>37</v>
      </c>
      <c r="E102" t="s">
        <v>62</v>
      </c>
      <c r="F102" t="s">
        <v>48</v>
      </c>
      <c r="G102" s="2">
        <v>11160850.449999999</v>
      </c>
      <c r="H102" s="2">
        <v>98.0017</v>
      </c>
      <c r="I102">
        <v>9.18</v>
      </c>
      <c r="J102">
        <v>46.5</v>
      </c>
      <c r="K102">
        <v>3.8117000000000001</v>
      </c>
      <c r="L102">
        <v>12.72</v>
      </c>
      <c r="M102">
        <v>2.2490000000000001E-3</v>
      </c>
      <c r="N102">
        <v>6.5719999999999997E-3</v>
      </c>
      <c r="O102">
        <v>10937823.175457601</v>
      </c>
      <c r="P102">
        <v>7.2274143442949603E-3</v>
      </c>
      <c r="Q102">
        <v>1.17439396872531E-2</v>
      </c>
    </row>
    <row r="103" spans="1:17" hidden="1">
      <c r="A103" t="s">
        <v>257</v>
      </c>
      <c r="B103" t="s">
        <v>258</v>
      </c>
      <c r="C103" t="s">
        <v>54</v>
      </c>
      <c r="D103" t="s">
        <v>157</v>
      </c>
      <c r="E103" t="s">
        <v>27</v>
      </c>
      <c r="F103" t="s">
        <v>97</v>
      </c>
      <c r="G103" s="2">
        <v>11079534.5</v>
      </c>
      <c r="H103" s="2">
        <v>92.701499999999996</v>
      </c>
      <c r="I103">
        <v>2.61</v>
      </c>
      <c r="J103">
        <v>77.209999999999994</v>
      </c>
      <c r="K103">
        <v>4.7209000000000003</v>
      </c>
      <c r="L103">
        <v>9.6199999999999992</v>
      </c>
      <c r="M103">
        <v>1.8686999999999999E-2</v>
      </c>
      <c r="N103">
        <v>1.4289999999999999E-3</v>
      </c>
      <c r="O103">
        <v>10270894.674517499</v>
      </c>
      <c r="P103">
        <v>6.7867262350622699E-3</v>
      </c>
      <c r="Q103">
        <v>4.9474495331812297E-3</v>
      </c>
    </row>
    <row r="104" spans="1:17" hidden="1">
      <c r="A104" t="s">
        <v>259</v>
      </c>
      <c r="B104" t="s">
        <v>260</v>
      </c>
      <c r="C104" t="s">
        <v>68</v>
      </c>
      <c r="D104" t="s">
        <v>69</v>
      </c>
      <c r="E104" t="s">
        <v>47</v>
      </c>
      <c r="F104" t="s">
        <v>22</v>
      </c>
      <c r="G104" s="2">
        <v>737012.26</v>
      </c>
      <c r="H104" s="2">
        <v>109.0806</v>
      </c>
      <c r="I104">
        <v>4.37</v>
      </c>
      <c r="J104">
        <v>139.49</v>
      </c>
      <c r="K104">
        <v>4.7236000000000002</v>
      </c>
      <c r="L104">
        <v>9.5500000000000007</v>
      </c>
      <c r="M104">
        <v>1.057E-3</v>
      </c>
      <c r="N104">
        <v>7.2849999999999998E-3</v>
      </c>
      <c r="O104">
        <v>803937.39528156002</v>
      </c>
      <c r="P104">
        <v>5.3121983866135801E-4</v>
      </c>
      <c r="Q104">
        <v>3.1489305911214698E-3</v>
      </c>
    </row>
    <row r="105" spans="1:17" hidden="1">
      <c r="A105" t="s">
        <v>261</v>
      </c>
      <c r="B105" t="s">
        <v>262</v>
      </c>
      <c r="C105" t="s">
        <v>54</v>
      </c>
      <c r="D105" t="s">
        <v>105</v>
      </c>
      <c r="E105" t="s">
        <v>21</v>
      </c>
      <c r="F105" t="s">
        <v>38</v>
      </c>
      <c r="G105" s="2">
        <v>18915989.649999999</v>
      </c>
      <c r="H105" s="2">
        <v>109.06619999999999</v>
      </c>
      <c r="I105">
        <v>8.25</v>
      </c>
      <c r="J105">
        <v>198.42</v>
      </c>
      <c r="K105">
        <v>6.2103000000000002</v>
      </c>
      <c r="L105">
        <v>19.88</v>
      </c>
      <c r="M105">
        <v>-1.7060000000000001E-3</v>
      </c>
      <c r="N105">
        <v>-7.0029999999999997E-3</v>
      </c>
      <c r="O105">
        <v>20630951.103648201</v>
      </c>
      <c r="P105">
        <v>1.36323681185051E-2</v>
      </c>
      <c r="Q105">
        <v>8.7917346337066803E-4</v>
      </c>
    </row>
    <row r="106" spans="1:17" hidden="1">
      <c r="A106" t="s">
        <v>263</v>
      </c>
      <c r="B106" t="s">
        <v>264</v>
      </c>
      <c r="C106" t="s">
        <v>19</v>
      </c>
      <c r="D106" t="s">
        <v>20</v>
      </c>
      <c r="E106" t="s">
        <v>51</v>
      </c>
      <c r="F106" t="s">
        <v>38</v>
      </c>
      <c r="G106" s="2">
        <v>9847411.5800000001</v>
      </c>
      <c r="H106" s="2">
        <v>99.379099999999994</v>
      </c>
      <c r="I106">
        <v>3.01</v>
      </c>
      <c r="J106">
        <v>593.26</v>
      </c>
      <c r="K106">
        <v>10.7982</v>
      </c>
      <c r="L106">
        <v>19.32</v>
      </c>
      <c r="M106">
        <v>7.7990000000000004E-3</v>
      </c>
      <c r="N106">
        <v>-1.0784E-2</v>
      </c>
      <c r="O106">
        <v>9786269.0014997795</v>
      </c>
      <c r="P106">
        <v>6.46649884752861E-3</v>
      </c>
      <c r="Q106">
        <v>8.9571218982744498E-3</v>
      </c>
    </row>
    <row r="107" spans="1:17">
      <c r="A107" t="s">
        <v>265</v>
      </c>
      <c r="B107" t="s">
        <v>266</v>
      </c>
      <c r="C107" t="s">
        <v>54</v>
      </c>
      <c r="D107" t="s">
        <v>157</v>
      </c>
      <c r="E107" t="s">
        <v>62</v>
      </c>
      <c r="F107" t="s">
        <v>22</v>
      </c>
      <c r="G107" s="2">
        <v>17800648.48</v>
      </c>
      <c r="H107" s="2">
        <v>100.9389</v>
      </c>
      <c r="I107">
        <v>1.57</v>
      </c>
      <c r="J107">
        <v>33.01</v>
      </c>
      <c r="K107">
        <v>4.2295999999999996</v>
      </c>
      <c r="L107">
        <v>7.99</v>
      </c>
      <c r="M107">
        <v>-7.803E-3</v>
      </c>
      <c r="N107">
        <v>-1.3100000000000001E-4</v>
      </c>
      <c r="O107">
        <v>17967778.768578701</v>
      </c>
      <c r="P107">
        <v>1.1872616692005599E-2</v>
      </c>
      <c r="Q107">
        <v>1.81172418476824E-3</v>
      </c>
    </row>
    <row r="108" spans="1:17" hidden="1">
      <c r="A108" t="s">
        <v>267</v>
      </c>
      <c r="B108" t="s">
        <v>268</v>
      </c>
      <c r="C108" t="s">
        <v>41</v>
      </c>
      <c r="D108" t="s">
        <v>42</v>
      </c>
      <c r="E108" t="s">
        <v>32</v>
      </c>
      <c r="F108" t="s">
        <v>48</v>
      </c>
      <c r="G108" s="2">
        <v>9263959.7899999991</v>
      </c>
      <c r="H108" s="2">
        <v>88.643900000000002</v>
      </c>
      <c r="I108">
        <v>4.9800000000000004</v>
      </c>
      <c r="J108">
        <v>339.76</v>
      </c>
      <c r="K108">
        <v>7.6734999999999998</v>
      </c>
      <c r="L108">
        <v>10.62</v>
      </c>
      <c r="M108">
        <v>5.202E-3</v>
      </c>
      <c r="N108">
        <v>1.206E-3</v>
      </c>
      <c r="O108">
        <v>8211935.2522878097</v>
      </c>
      <c r="P108">
        <v>5.4262221727974704E-3</v>
      </c>
      <c r="Q108">
        <v>3.12703072912252E-3</v>
      </c>
    </row>
    <row r="109" spans="1:17" hidden="1">
      <c r="A109" t="s">
        <v>269</v>
      </c>
      <c r="B109" t="s">
        <v>270</v>
      </c>
      <c r="C109" t="s">
        <v>41</v>
      </c>
      <c r="D109" t="s">
        <v>42</v>
      </c>
      <c r="E109" t="s">
        <v>21</v>
      </c>
      <c r="F109" t="s">
        <v>22</v>
      </c>
      <c r="G109" s="2">
        <v>12711296.27</v>
      </c>
      <c r="H109" s="2">
        <v>104.0256</v>
      </c>
      <c r="I109">
        <v>8.82</v>
      </c>
      <c r="J109">
        <v>220.22</v>
      </c>
      <c r="K109">
        <v>6.2671999999999999</v>
      </c>
      <c r="L109">
        <v>17.73</v>
      </c>
      <c r="M109">
        <v>2.0720000000000001E-3</v>
      </c>
      <c r="N109">
        <v>5.3629999999999997E-3</v>
      </c>
      <c r="O109">
        <v>13223002.2126451</v>
      </c>
      <c r="P109">
        <v>8.7373981397643793E-3</v>
      </c>
      <c r="Q109">
        <v>4.3497070106073102E-4</v>
      </c>
    </row>
    <row r="110" spans="1:17">
      <c r="A110" t="s">
        <v>271</v>
      </c>
      <c r="B110" t="s">
        <v>272</v>
      </c>
      <c r="C110" t="s">
        <v>41</v>
      </c>
      <c r="D110" t="s">
        <v>96</v>
      </c>
      <c r="E110" t="s">
        <v>62</v>
      </c>
      <c r="F110" t="s">
        <v>97</v>
      </c>
      <c r="G110" s="2">
        <v>811341.92</v>
      </c>
      <c r="H110" s="2">
        <v>94.635400000000004</v>
      </c>
      <c r="I110">
        <v>5.05</v>
      </c>
      <c r="J110">
        <v>57.69</v>
      </c>
      <c r="K110">
        <v>4.0632999999999999</v>
      </c>
      <c r="L110">
        <v>6.24</v>
      </c>
      <c r="M110">
        <v>-5.4929999999999996E-3</v>
      </c>
      <c r="N110">
        <v>-5.0489999999999997E-3</v>
      </c>
      <c r="O110">
        <v>767816.67135968001</v>
      </c>
      <c r="P110">
        <v>5.0735225239564798E-4</v>
      </c>
      <c r="Q110">
        <v>1.0885763170647199E-2</v>
      </c>
    </row>
    <row r="111" spans="1:17" hidden="1">
      <c r="A111" t="s">
        <v>273</v>
      </c>
      <c r="B111" t="s">
        <v>274</v>
      </c>
      <c r="C111" t="s">
        <v>68</v>
      </c>
      <c r="D111" t="s">
        <v>75</v>
      </c>
      <c r="E111" t="s">
        <v>47</v>
      </c>
      <c r="F111" t="s">
        <v>38</v>
      </c>
      <c r="G111" s="2">
        <v>16622577.140000001</v>
      </c>
      <c r="H111" s="2">
        <v>99.975700000000003</v>
      </c>
      <c r="I111">
        <v>1.1100000000000001</v>
      </c>
      <c r="J111">
        <v>115.24</v>
      </c>
      <c r="K111">
        <v>5.2161999999999997</v>
      </c>
      <c r="L111">
        <v>12.82</v>
      </c>
      <c r="M111">
        <v>-3.9599999999999998E-4</v>
      </c>
      <c r="N111">
        <v>2.6849999999999999E-3</v>
      </c>
      <c r="O111">
        <v>16618537.8537549</v>
      </c>
      <c r="P111">
        <v>1.0981075204702401E-2</v>
      </c>
      <c r="Q111">
        <v>9.7991132848836201E-3</v>
      </c>
    </row>
    <row r="112" spans="1:17" hidden="1">
      <c r="A112" t="s">
        <v>275</v>
      </c>
      <c r="B112" t="s">
        <v>276</v>
      </c>
      <c r="C112" t="s">
        <v>41</v>
      </c>
      <c r="D112" t="s">
        <v>96</v>
      </c>
      <c r="E112" t="s">
        <v>47</v>
      </c>
      <c r="F112" t="s">
        <v>97</v>
      </c>
      <c r="G112" s="2">
        <v>10012291.119999999</v>
      </c>
      <c r="H112" s="2">
        <v>94.133899999999997</v>
      </c>
      <c r="I112">
        <v>3.97</v>
      </c>
      <c r="J112">
        <v>70.599999999999994</v>
      </c>
      <c r="K112">
        <v>4.7252999999999998</v>
      </c>
      <c r="L112">
        <v>19</v>
      </c>
      <c r="M112">
        <v>6.8799999999999998E-3</v>
      </c>
      <c r="N112">
        <v>1.4159999999999999E-3</v>
      </c>
      <c r="O112">
        <v>9424960.1106096692</v>
      </c>
      <c r="P112">
        <v>6.2277558162278602E-3</v>
      </c>
      <c r="Q112">
        <v>8.9091722894871495E-3</v>
      </c>
    </row>
    <row r="113" spans="1:17" hidden="1">
      <c r="A113" t="s">
        <v>277</v>
      </c>
      <c r="B113" t="s">
        <v>278</v>
      </c>
      <c r="C113" t="s">
        <v>54</v>
      </c>
      <c r="D113" t="s">
        <v>157</v>
      </c>
      <c r="E113" t="s">
        <v>32</v>
      </c>
      <c r="F113" t="s">
        <v>48</v>
      </c>
      <c r="G113" s="2">
        <v>2362938.62</v>
      </c>
      <c r="H113" s="2">
        <v>101.6887</v>
      </c>
      <c r="I113">
        <v>8.02</v>
      </c>
      <c r="J113">
        <v>414.52</v>
      </c>
      <c r="K113">
        <v>7.0593000000000004</v>
      </c>
      <c r="L113">
        <v>12.04</v>
      </c>
      <c r="M113">
        <v>-6.1830000000000001E-3</v>
      </c>
      <c r="N113">
        <v>1.5415999999999999E-2</v>
      </c>
      <c r="O113">
        <v>2402841.5644759401</v>
      </c>
      <c r="P113">
        <v>1.5877319747797901E-3</v>
      </c>
      <c r="Q113">
        <v>2.3968558344766998E-3</v>
      </c>
    </row>
    <row r="114" spans="1:17" hidden="1">
      <c r="A114" t="s">
        <v>279</v>
      </c>
      <c r="B114" t="s">
        <v>280</v>
      </c>
      <c r="C114" t="s">
        <v>68</v>
      </c>
      <c r="D114" t="s">
        <v>69</v>
      </c>
      <c r="E114" t="s">
        <v>47</v>
      </c>
      <c r="F114" t="s">
        <v>28</v>
      </c>
      <c r="G114" s="2">
        <v>12744057.6</v>
      </c>
      <c r="H114" s="2">
        <v>104.9853</v>
      </c>
      <c r="I114">
        <v>4.28</v>
      </c>
      <c r="J114">
        <v>125.23</v>
      </c>
      <c r="K114">
        <v>4.5392999999999999</v>
      </c>
      <c r="L114">
        <v>12.69</v>
      </c>
      <c r="M114">
        <v>7.3109999999999998E-3</v>
      </c>
      <c r="N114">
        <v>-3.9430000000000003E-3</v>
      </c>
      <c r="O114">
        <v>13379387.1035327</v>
      </c>
      <c r="P114">
        <v>8.8407329976699905E-3</v>
      </c>
      <c r="Q114">
        <v>1.283229161174E-3</v>
      </c>
    </row>
    <row r="115" spans="1:17" hidden="1">
      <c r="A115" t="s">
        <v>281</v>
      </c>
      <c r="B115" t="s">
        <v>282</v>
      </c>
      <c r="C115" t="s">
        <v>41</v>
      </c>
      <c r="D115" t="s">
        <v>96</v>
      </c>
      <c r="E115" t="s">
        <v>32</v>
      </c>
      <c r="F115" t="s">
        <v>28</v>
      </c>
      <c r="G115" s="2">
        <v>10032508.32</v>
      </c>
      <c r="H115" s="2">
        <v>97.889899999999997</v>
      </c>
      <c r="I115">
        <v>9.57</v>
      </c>
      <c r="J115">
        <v>423.58</v>
      </c>
      <c r="K115">
        <v>7.1368</v>
      </c>
      <c r="L115">
        <v>16.600000000000001</v>
      </c>
      <c r="M115">
        <v>-6.4689999999999999E-3</v>
      </c>
      <c r="N115">
        <v>3.2239999999999999E-3</v>
      </c>
      <c r="O115">
        <v>9820812.3619396798</v>
      </c>
      <c r="P115">
        <v>6.4893241551550601E-3</v>
      </c>
      <c r="Q115">
        <v>6.8352078875058798E-3</v>
      </c>
    </row>
    <row r="116" spans="1:17" hidden="1">
      <c r="A116" t="s">
        <v>283</v>
      </c>
      <c r="B116" t="s">
        <v>284</v>
      </c>
      <c r="C116" t="s">
        <v>36</v>
      </c>
      <c r="D116" t="s">
        <v>65</v>
      </c>
      <c r="E116" t="s">
        <v>47</v>
      </c>
      <c r="F116" t="s">
        <v>28</v>
      </c>
      <c r="G116" s="2">
        <v>12003394.890000001</v>
      </c>
      <c r="H116" s="2">
        <v>93.764700000000005</v>
      </c>
      <c r="I116">
        <v>7.34</v>
      </c>
      <c r="J116">
        <v>80.91</v>
      </c>
      <c r="K116">
        <v>4.5145</v>
      </c>
      <c r="L116">
        <v>10.82</v>
      </c>
      <c r="M116">
        <v>-8.966E-3</v>
      </c>
      <c r="N116">
        <v>-1.3875E-2</v>
      </c>
      <c r="O116">
        <v>11254947.208423801</v>
      </c>
      <c r="P116">
        <v>7.4369612301801898E-3</v>
      </c>
      <c r="Q116">
        <v>4.6169086191516096E-3</v>
      </c>
    </row>
    <row r="117" spans="1:17" hidden="1">
      <c r="A117" t="s">
        <v>285</v>
      </c>
      <c r="B117" t="s">
        <v>286</v>
      </c>
      <c r="C117" t="s">
        <v>36</v>
      </c>
      <c r="D117" t="s">
        <v>37</v>
      </c>
      <c r="E117" t="s">
        <v>51</v>
      </c>
      <c r="F117" t="s">
        <v>33</v>
      </c>
      <c r="G117" s="2">
        <v>2470393.31</v>
      </c>
      <c r="H117" s="2">
        <v>92.581900000000005</v>
      </c>
      <c r="I117">
        <v>9.85</v>
      </c>
      <c r="J117">
        <v>485.56</v>
      </c>
      <c r="K117">
        <v>8.3642000000000003</v>
      </c>
      <c r="L117">
        <v>13.04</v>
      </c>
      <c r="M117">
        <v>-2.6050000000000001E-3</v>
      </c>
      <c r="N117">
        <v>1.593E-3</v>
      </c>
      <c r="O117">
        <v>2287137.0638708901</v>
      </c>
      <c r="P117">
        <v>1.51127760593894E-3</v>
      </c>
      <c r="Q117">
        <v>1.3222303358393899E-3</v>
      </c>
    </row>
    <row r="118" spans="1:17" hidden="1">
      <c r="A118" t="s">
        <v>287</v>
      </c>
      <c r="B118" t="s">
        <v>288</v>
      </c>
      <c r="C118" t="s">
        <v>41</v>
      </c>
      <c r="D118" t="s">
        <v>96</v>
      </c>
      <c r="E118" t="s">
        <v>47</v>
      </c>
      <c r="F118" t="s">
        <v>48</v>
      </c>
      <c r="G118" s="2">
        <v>17930905.370000001</v>
      </c>
      <c r="H118" s="2">
        <v>98.336500000000001</v>
      </c>
      <c r="I118">
        <v>4.01</v>
      </c>
      <c r="J118">
        <v>133.52000000000001</v>
      </c>
      <c r="K118">
        <v>5.1200999999999999</v>
      </c>
      <c r="L118">
        <v>7.1</v>
      </c>
      <c r="M118">
        <v>-3.3990000000000001E-3</v>
      </c>
      <c r="N118">
        <v>3.2269999999999998E-3</v>
      </c>
      <c r="O118">
        <v>17632624.75917</v>
      </c>
      <c r="P118">
        <v>1.1651156090906899E-2</v>
      </c>
      <c r="Q118">
        <v>7.79967426838994E-3</v>
      </c>
    </row>
    <row r="119" spans="1:17" hidden="1">
      <c r="A119" t="s">
        <v>289</v>
      </c>
      <c r="B119" t="s">
        <v>290</v>
      </c>
      <c r="C119" t="s">
        <v>25</v>
      </c>
      <c r="D119" t="s">
        <v>26</v>
      </c>
      <c r="E119" t="s">
        <v>208</v>
      </c>
      <c r="F119" t="s">
        <v>38</v>
      </c>
      <c r="G119" s="2">
        <v>12680939.59</v>
      </c>
      <c r="H119" s="2">
        <v>104.2306</v>
      </c>
      <c r="I119">
        <v>1.19</v>
      </c>
      <c r="J119">
        <v>1183.93</v>
      </c>
      <c r="K119">
        <v>12.4772</v>
      </c>
      <c r="L119">
        <v>3.65</v>
      </c>
      <c r="M119">
        <v>-9.5209999999999999E-3</v>
      </c>
      <c r="N119">
        <v>-3.117E-3</v>
      </c>
      <c r="O119">
        <v>13217419.420294501</v>
      </c>
      <c r="P119">
        <v>8.7337091832994096E-3</v>
      </c>
      <c r="Q119">
        <v>3.1820737268216402E-2</v>
      </c>
    </row>
    <row r="120" spans="1:17" hidden="1">
      <c r="A120" t="s">
        <v>291</v>
      </c>
      <c r="B120" t="s">
        <v>292</v>
      </c>
      <c r="C120" t="s">
        <v>54</v>
      </c>
      <c r="D120" t="s">
        <v>157</v>
      </c>
      <c r="E120" t="s">
        <v>21</v>
      </c>
      <c r="F120" t="s">
        <v>76</v>
      </c>
      <c r="G120" s="2">
        <v>3516106.75</v>
      </c>
      <c r="H120" s="2">
        <v>108.8809</v>
      </c>
      <c r="I120">
        <v>5.86</v>
      </c>
      <c r="J120">
        <v>229.4</v>
      </c>
      <c r="K120">
        <v>6.2695999999999996</v>
      </c>
      <c r="L120">
        <v>8.99</v>
      </c>
      <c r="M120">
        <v>-3.3409999999999998E-3</v>
      </c>
      <c r="N120">
        <v>1.6489E-2</v>
      </c>
      <c r="O120">
        <v>3828368.6743607498</v>
      </c>
      <c r="P120">
        <v>2.5296812929293498E-3</v>
      </c>
      <c r="Q120">
        <v>9.2622101223527806E-3</v>
      </c>
    </row>
    <row r="121" spans="1:17" hidden="1">
      <c r="A121" t="s">
        <v>293</v>
      </c>
      <c r="B121" t="s">
        <v>294</v>
      </c>
      <c r="C121" t="s">
        <v>41</v>
      </c>
      <c r="D121" t="s">
        <v>72</v>
      </c>
      <c r="E121" t="s">
        <v>47</v>
      </c>
      <c r="F121" t="s">
        <v>97</v>
      </c>
      <c r="G121" s="2">
        <v>10699775.779999999</v>
      </c>
      <c r="H121" s="2">
        <v>101.62990000000001</v>
      </c>
      <c r="I121">
        <v>2.81</v>
      </c>
      <c r="J121">
        <v>83.14</v>
      </c>
      <c r="K121">
        <v>5.3146000000000004</v>
      </c>
      <c r="L121">
        <v>6.46</v>
      </c>
      <c r="M121">
        <v>7.4689999999999999E-3</v>
      </c>
      <c r="N121">
        <v>-1.882E-3</v>
      </c>
      <c r="O121">
        <v>10874171.425438199</v>
      </c>
      <c r="P121">
        <v>7.1853550091100504E-3</v>
      </c>
      <c r="Q121">
        <v>9.0721966574841498E-3</v>
      </c>
    </row>
    <row r="122" spans="1:17" hidden="1">
      <c r="A122" t="s">
        <v>295</v>
      </c>
      <c r="B122" t="s">
        <v>296</v>
      </c>
      <c r="C122" t="s">
        <v>41</v>
      </c>
      <c r="D122" t="s">
        <v>96</v>
      </c>
      <c r="E122" t="s">
        <v>21</v>
      </c>
      <c r="F122" t="s">
        <v>38</v>
      </c>
      <c r="G122" s="2">
        <v>2080401.21</v>
      </c>
      <c r="H122" s="2">
        <v>97.396900000000002</v>
      </c>
      <c r="I122">
        <v>4.68</v>
      </c>
      <c r="J122">
        <v>153.77000000000001</v>
      </c>
      <c r="K122">
        <v>6.0850999999999997</v>
      </c>
      <c r="L122">
        <v>11.01</v>
      </c>
      <c r="M122">
        <v>6.058E-3</v>
      </c>
      <c r="N122">
        <v>-7.0260000000000001E-3</v>
      </c>
      <c r="O122">
        <v>2026246.28610249</v>
      </c>
      <c r="P122">
        <v>1.3388881167974E-3</v>
      </c>
      <c r="Q122">
        <v>2.0218535412859499E-2</v>
      </c>
    </row>
    <row r="123" spans="1:17" hidden="1">
      <c r="A123" t="s">
        <v>297</v>
      </c>
      <c r="B123" t="s">
        <v>298</v>
      </c>
      <c r="C123" t="s">
        <v>54</v>
      </c>
      <c r="D123" t="s">
        <v>55</v>
      </c>
      <c r="E123" t="s">
        <v>47</v>
      </c>
      <c r="F123" t="s">
        <v>97</v>
      </c>
      <c r="G123" s="2">
        <v>19021098.309999999</v>
      </c>
      <c r="H123" s="2">
        <v>105.5634</v>
      </c>
      <c r="I123">
        <v>8.32</v>
      </c>
      <c r="J123">
        <v>83.01</v>
      </c>
      <c r="K123">
        <v>5.4108999999999998</v>
      </c>
      <c r="L123">
        <v>16.63</v>
      </c>
      <c r="M123">
        <v>6.4359999999999999E-3</v>
      </c>
      <c r="N123">
        <v>1.0737E-2</v>
      </c>
      <c r="O123">
        <v>20079318.093378499</v>
      </c>
      <c r="P123">
        <v>1.32678641155371E-2</v>
      </c>
      <c r="Q123">
        <v>1.5276392337747E-3</v>
      </c>
    </row>
    <row r="124" spans="1:17" hidden="1">
      <c r="A124" t="s">
        <v>299</v>
      </c>
      <c r="B124" t="s">
        <v>300</v>
      </c>
      <c r="C124" t="s">
        <v>41</v>
      </c>
      <c r="D124" t="s">
        <v>42</v>
      </c>
      <c r="E124" t="s">
        <v>47</v>
      </c>
      <c r="F124" t="s">
        <v>33</v>
      </c>
      <c r="G124" s="2">
        <v>18797638.91</v>
      </c>
      <c r="H124" s="2">
        <v>103.2717</v>
      </c>
      <c r="I124">
        <v>9.3699999999999992</v>
      </c>
      <c r="J124">
        <v>147.19999999999999</v>
      </c>
      <c r="K124">
        <v>4.6242999999999999</v>
      </c>
      <c r="L124">
        <v>18.37</v>
      </c>
      <c r="M124">
        <v>4.4039999999999999E-3</v>
      </c>
      <c r="N124">
        <v>1.1461000000000001E-2</v>
      </c>
      <c r="O124">
        <v>19412641.262218401</v>
      </c>
      <c r="P124">
        <v>1.28273423028106E-2</v>
      </c>
      <c r="Q124">
        <v>5.6148017620102804E-3</v>
      </c>
    </row>
    <row r="125" spans="1:17" hidden="1">
      <c r="A125" t="s">
        <v>301</v>
      </c>
      <c r="B125" t="s">
        <v>302</v>
      </c>
      <c r="C125" t="s">
        <v>68</v>
      </c>
      <c r="D125" t="s">
        <v>69</v>
      </c>
      <c r="E125" t="s">
        <v>21</v>
      </c>
      <c r="F125" t="s">
        <v>97</v>
      </c>
      <c r="G125" s="2">
        <v>19135204.219999999</v>
      </c>
      <c r="H125" s="2">
        <v>107.2187</v>
      </c>
      <c r="I125">
        <v>1.82</v>
      </c>
      <c r="J125">
        <v>154.53</v>
      </c>
      <c r="K125">
        <v>5.1943000000000001</v>
      </c>
      <c r="L125">
        <v>17.899999999999999</v>
      </c>
      <c r="M125">
        <v>2.787E-3</v>
      </c>
      <c r="N125">
        <v>2.7409999999999999E-3</v>
      </c>
      <c r="O125">
        <v>20516517.207029101</v>
      </c>
      <c r="P125">
        <v>1.3556753330020099E-2</v>
      </c>
      <c r="Q125">
        <v>2.62295686633831E-2</v>
      </c>
    </row>
    <row r="126" spans="1:17" hidden="1">
      <c r="A126" t="s">
        <v>303</v>
      </c>
      <c r="B126" t="s">
        <v>304</v>
      </c>
      <c r="C126" t="s">
        <v>25</v>
      </c>
      <c r="D126" t="s">
        <v>130</v>
      </c>
      <c r="E126" t="s">
        <v>47</v>
      </c>
      <c r="F126" t="s">
        <v>48</v>
      </c>
      <c r="G126" s="2">
        <v>3207129.87</v>
      </c>
      <c r="H126" s="2">
        <v>88.797600000000003</v>
      </c>
      <c r="I126">
        <v>3.16</v>
      </c>
      <c r="J126">
        <v>80.31</v>
      </c>
      <c r="K126">
        <v>4.6280000000000001</v>
      </c>
      <c r="L126">
        <v>5.36</v>
      </c>
      <c r="M126">
        <v>-8.3099999999999997E-3</v>
      </c>
      <c r="N126">
        <v>3.8140000000000001E-3</v>
      </c>
      <c r="O126">
        <v>2847854.3534431201</v>
      </c>
      <c r="P126">
        <v>1.8817842521646399E-3</v>
      </c>
      <c r="Q126">
        <v>1.2168529240730399E-3</v>
      </c>
    </row>
    <row r="127" spans="1:17" hidden="1">
      <c r="A127" t="s">
        <v>305</v>
      </c>
      <c r="B127" t="s">
        <v>306</v>
      </c>
      <c r="C127" t="s">
        <v>36</v>
      </c>
      <c r="D127" t="s">
        <v>79</v>
      </c>
      <c r="E127" t="s">
        <v>21</v>
      </c>
      <c r="F127" t="s">
        <v>38</v>
      </c>
      <c r="G127" s="2">
        <v>16115008.9</v>
      </c>
      <c r="H127" s="2">
        <v>105.6551</v>
      </c>
      <c r="I127">
        <v>1.42</v>
      </c>
      <c r="J127">
        <v>124.78</v>
      </c>
      <c r="K127">
        <v>6.4359000000000002</v>
      </c>
      <c r="L127">
        <v>9.17</v>
      </c>
      <c r="M127">
        <v>-9.4929999999999997E-3</v>
      </c>
      <c r="N127">
        <v>4.4000000000000003E-3</v>
      </c>
      <c r="O127">
        <v>17026328.768303901</v>
      </c>
      <c r="P127">
        <v>1.1250532285696099E-2</v>
      </c>
      <c r="Q127">
        <v>8.1144230970342495E-3</v>
      </c>
    </row>
    <row r="128" spans="1:17" hidden="1">
      <c r="A128" t="s">
        <v>307</v>
      </c>
      <c r="B128" t="s">
        <v>308</v>
      </c>
      <c r="C128" t="s">
        <v>41</v>
      </c>
      <c r="D128" t="s">
        <v>42</v>
      </c>
      <c r="E128" t="s">
        <v>32</v>
      </c>
      <c r="F128" t="s">
        <v>48</v>
      </c>
      <c r="G128" s="2">
        <v>10214816.470000001</v>
      </c>
      <c r="H128" s="2">
        <v>101.46769999999999</v>
      </c>
      <c r="I128">
        <v>9.7799999999999994</v>
      </c>
      <c r="J128">
        <v>286.42</v>
      </c>
      <c r="K128">
        <v>7.9741999999999997</v>
      </c>
      <c r="L128">
        <v>13.89</v>
      </c>
      <c r="M128">
        <v>1.4319999999999999E-2</v>
      </c>
      <c r="N128">
        <v>3.454E-3</v>
      </c>
      <c r="O128">
        <v>10364739.3313301</v>
      </c>
      <c r="P128">
        <v>6.8487362171129303E-3</v>
      </c>
      <c r="Q128">
        <v>5.9364420200222401E-3</v>
      </c>
    </row>
    <row r="129" spans="1:17" hidden="1">
      <c r="A129" t="s">
        <v>309</v>
      </c>
      <c r="B129" t="s">
        <v>310</v>
      </c>
      <c r="C129" t="s">
        <v>68</v>
      </c>
      <c r="D129" t="s">
        <v>69</v>
      </c>
      <c r="E129" t="s">
        <v>32</v>
      </c>
      <c r="F129" t="s">
        <v>33</v>
      </c>
      <c r="G129" s="2">
        <v>19277074.07</v>
      </c>
      <c r="H129" s="2">
        <v>91.414100000000005</v>
      </c>
      <c r="I129">
        <v>5.73</v>
      </c>
      <c r="J129">
        <v>271.38</v>
      </c>
      <c r="K129">
        <v>7.4183000000000003</v>
      </c>
      <c r="L129">
        <v>16.14</v>
      </c>
      <c r="M129">
        <v>1.1679E-2</v>
      </c>
      <c r="N129">
        <v>-1.26E-4</v>
      </c>
      <c r="O129">
        <v>17621963.767423801</v>
      </c>
      <c r="P129">
        <v>1.16441115991982E-2</v>
      </c>
      <c r="Q129">
        <v>5.9473283297429898E-3</v>
      </c>
    </row>
    <row r="130" spans="1:17" hidden="1">
      <c r="A130" t="s">
        <v>311</v>
      </c>
      <c r="B130" t="s">
        <v>312</v>
      </c>
      <c r="C130" t="s">
        <v>25</v>
      </c>
      <c r="D130" t="s">
        <v>130</v>
      </c>
      <c r="E130" t="s">
        <v>27</v>
      </c>
      <c r="F130" t="s">
        <v>38</v>
      </c>
      <c r="G130" s="2">
        <v>14323764.439999999</v>
      </c>
      <c r="H130" s="2">
        <v>88.415499999999994</v>
      </c>
      <c r="I130">
        <v>3.29</v>
      </c>
      <c r="J130">
        <v>56.13</v>
      </c>
      <c r="K130">
        <v>4.8487</v>
      </c>
      <c r="L130">
        <v>8.93</v>
      </c>
      <c r="M130">
        <v>-1.3915E-2</v>
      </c>
      <c r="N130">
        <v>3.6740000000000002E-3</v>
      </c>
      <c r="O130">
        <v>12664427.948448099</v>
      </c>
      <c r="P130">
        <v>8.3683075460830696E-3</v>
      </c>
      <c r="Q130">
        <v>8.0566717431382693E-3</v>
      </c>
    </row>
    <row r="131" spans="1:17" hidden="1">
      <c r="A131" t="s">
        <v>313</v>
      </c>
      <c r="B131" t="s">
        <v>314</v>
      </c>
      <c r="C131" t="s">
        <v>19</v>
      </c>
      <c r="D131" t="s">
        <v>31</v>
      </c>
      <c r="E131" t="s">
        <v>47</v>
      </c>
      <c r="F131" t="s">
        <v>97</v>
      </c>
      <c r="G131" s="2">
        <v>13789303.08</v>
      </c>
      <c r="H131" s="2">
        <v>91.366</v>
      </c>
      <c r="I131">
        <v>1.57</v>
      </c>
      <c r="J131">
        <v>95.79</v>
      </c>
      <c r="K131">
        <v>5.3098999999999998</v>
      </c>
      <c r="L131">
        <v>19.829999999999998</v>
      </c>
      <c r="M131">
        <v>4.738E-3</v>
      </c>
      <c r="N131">
        <v>1.0491E-2</v>
      </c>
      <c r="O131">
        <v>12598734.6520727</v>
      </c>
      <c r="P131">
        <v>8.3248992129137302E-3</v>
      </c>
      <c r="Q131">
        <v>1.78733756281368E-2</v>
      </c>
    </row>
    <row r="132" spans="1:17" hidden="1">
      <c r="A132" t="s">
        <v>315</v>
      </c>
      <c r="B132" t="s">
        <v>316</v>
      </c>
      <c r="C132" t="s">
        <v>68</v>
      </c>
      <c r="D132" t="s">
        <v>75</v>
      </c>
      <c r="E132" t="s">
        <v>51</v>
      </c>
      <c r="F132" t="s">
        <v>22</v>
      </c>
      <c r="G132" s="2">
        <v>13357401.48</v>
      </c>
      <c r="H132" s="2">
        <v>100.93</v>
      </c>
      <c r="I132">
        <v>8.57</v>
      </c>
      <c r="J132">
        <v>675.44</v>
      </c>
      <c r="K132">
        <v>9.3843999999999994</v>
      </c>
      <c r="L132">
        <v>9.9700000000000006</v>
      </c>
      <c r="M132">
        <v>2.712E-3</v>
      </c>
      <c r="N132">
        <v>5.9959999999999996E-3</v>
      </c>
      <c r="O132">
        <v>13481625.313764</v>
      </c>
      <c r="P132">
        <v>8.9082892102094295E-3</v>
      </c>
      <c r="Q132">
        <v>1.0277169697925401E-2</v>
      </c>
    </row>
    <row r="133" spans="1:17" hidden="1">
      <c r="A133" t="s">
        <v>317</v>
      </c>
      <c r="B133" t="s">
        <v>318</v>
      </c>
      <c r="C133" t="s">
        <v>36</v>
      </c>
      <c r="D133" t="s">
        <v>79</v>
      </c>
      <c r="E133" t="s">
        <v>32</v>
      </c>
      <c r="F133" t="s">
        <v>76</v>
      </c>
      <c r="G133" s="2">
        <v>7422427.96</v>
      </c>
      <c r="H133" s="2">
        <v>90.666399999999996</v>
      </c>
      <c r="I133">
        <v>1.77</v>
      </c>
      <c r="J133">
        <v>288.37</v>
      </c>
      <c r="K133">
        <v>6.8083999999999998</v>
      </c>
      <c r="L133">
        <v>18.18</v>
      </c>
      <c r="M133">
        <v>7.7300000000000003E-4</v>
      </c>
      <c r="N133">
        <v>-4.9899999999999996E-3</v>
      </c>
      <c r="O133">
        <v>6729648.2239254303</v>
      </c>
      <c r="P133">
        <v>4.4467674532161E-3</v>
      </c>
      <c r="Q133">
        <v>3.8910353394182502E-4</v>
      </c>
    </row>
    <row r="134" spans="1:17" hidden="1">
      <c r="A134" t="s">
        <v>319</v>
      </c>
      <c r="B134" t="s">
        <v>320</v>
      </c>
      <c r="C134" t="s">
        <v>19</v>
      </c>
      <c r="D134" t="s">
        <v>20</v>
      </c>
      <c r="E134" t="s">
        <v>47</v>
      </c>
      <c r="F134" t="s">
        <v>33</v>
      </c>
      <c r="G134" s="2">
        <v>15460299.640000001</v>
      </c>
      <c r="H134" s="2">
        <v>103.5243</v>
      </c>
      <c r="I134">
        <v>4.91</v>
      </c>
      <c r="J134">
        <v>102.42</v>
      </c>
      <c r="K134">
        <v>5.0715000000000003</v>
      </c>
      <c r="L134">
        <v>9.48</v>
      </c>
      <c r="M134">
        <v>4.9379999999999997E-3</v>
      </c>
      <c r="N134">
        <v>5.5319999999999996E-3</v>
      </c>
      <c r="O134">
        <v>16005166.9802125</v>
      </c>
      <c r="P134">
        <v>1.0575776510556301E-2</v>
      </c>
      <c r="Q134">
        <v>1.2900730470308701E-2</v>
      </c>
    </row>
    <row r="135" spans="1:17" hidden="1">
      <c r="A135" t="s">
        <v>321</v>
      </c>
      <c r="B135" t="s">
        <v>322</v>
      </c>
      <c r="C135" t="s">
        <v>54</v>
      </c>
      <c r="D135" t="s">
        <v>55</v>
      </c>
      <c r="E135" t="s">
        <v>51</v>
      </c>
      <c r="F135" t="s">
        <v>33</v>
      </c>
      <c r="G135" s="2">
        <v>15945825.859999999</v>
      </c>
      <c r="H135" s="2">
        <v>103.1079</v>
      </c>
      <c r="I135">
        <v>2.99</v>
      </c>
      <c r="J135">
        <v>613.92999999999995</v>
      </c>
      <c r="K135">
        <v>10.544</v>
      </c>
      <c r="L135">
        <v>6.77</v>
      </c>
      <c r="M135">
        <v>1.4215999999999999E-2</v>
      </c>
      <c r="N135">
        <v>-7.0159999999999997E-3</v>
      </c>
      <c r="O135">
        <v>16441406.1819029</v>
      </c>
      <c r="P135">
        <v>1.08640314414749E-2</v>
      </c>
      <c r="Q135">
        <v>1.72140684516791E-3</v>
      </c>
    </row>
    <row r="136" spans="1:17">
      <c r="A136" t="s">
        <v>323</v>
      </c>
      <c r="B136" t="s">
        <v>324</v>
      </c>
      <c r="C136" t="s">
        <v>68</v>
      </c>
      <c r="D136" t="s">
        <v>69</v>
      </c>
      <c r="E136" t="s">
        <v>62</v>
      </c>
      <c r="F136" t="s">
        <v>28</v>
      </c>
      <c r="G136" s="2">
        <v>19488232.620000001</v>
      </c>
      <c r="H136" s="2">
        <v>86.166600000000003</v>
      </c>
      <c r="I136">
        <v>1.06</v>
      </c>
      <c r="J136">
        <v>40.99</v>
      </c>
      <c r="K136">
        <v>3.8999000000000001</v>
      </c>
      <c r="L136">
        <v>2.48</v>
      </c>
      <c r="M136">
        <v>-1.508E-3</v>
      </c>
      <c r="N136">
        <v>-7.4700000000000005E-4</v>
      </c>
      <c r="O136">
        <v>16792347.448744901</v>
      </c>
      <c r="P136">
        <v>1.1095923830416601E-2</v>
      </c>
      <c r="Q136">
        <v>3.1861360367934099E-3</v>
      </c>
    </row>
    <row r="137" spans="1:17" hidden="1">
      <c r="A137" t="s">
        <v>325</v>
      </c>
      <c r="B137" t="s">
        <v>326</v>
      </c>
      <c r="C137" t="s">
        <v>41</v>
      </c>
      <c r="D137" t="s">
        <v>96</v>
      </c>
      <c r="E137" t="s">
        <v>47</v>
      </c>
      <c r="F137" t="s">
        <v>33</v>
      </c>
      <c r="G137" s="2">
        <v>2239484.41</v>
      </c>
      <c r="H137" s="2">
        <v>106.0177</v>
      </c>
      <c r="I137">
        <v>1.94</v>
      </c>
      <c r="J137">
        <v>84.58</v>
      </c>
      <c r="K137">
        <v>5.0640000000000001</v>
      </c>
      <c r="L137">
        <v>15.52</v>
      </c>
      <c r="M137">
        <v>-1.1984E-2</v>
      </c>
      <c r="N137">
        <v>1.8469999999999999E-3</v>
      </c>
      <c r="O137">
        <v>2374249.8633405701</v>
      </c>
      <c r="P137">
        <v>1.56883936081093E-3</v>
      </c>
      <c r="Q137">
        <v>4.1716642365412504E-3</v>
      </c>
    </row>
    <row r="138" spans="1:17" hidden="1">
      <c r="A138" t="s">
        <v>327</v>
      </c>
      <c r="B138" t="s">
        <v>328</v>
      </c>
      <c r="C138" t="s">
        <v>68</v>
      </c>
      <c r="D138" t="s">
        <v>102</v>
      </c>
      <c r="E138" t="s">
        <v>32</v>
      </c>
      <c r="F138" t="s">
        <v>97</v>
      </c>
      <c r="G138" s="2">
        <v>4211334.82</v>
      </c>
      <c r="H138" s="2">
        <v>96.421499999999995</v>
      </c>
      <c r="I138">
        <v>3.44</v>
      </c>
      <c r="J138">
        <v>386.03</v>
      </c>
      <c r="K138">
        <v>6.5770999999999997</v>
      </c>
      <c r="L138">
        <v>13.66</v>
      </c>
      <c r="M138">
        <v>-6.4800000000000003E-4</v>
      </c>
      <c r="N138">
        <v>-3.3010000000000001E-3</v>
      </c>
      <c r="O138">
        <v>4060632.2034662999</v>
      </c>
      <c r="P138">
        <v>2.6831546792682901E-3</v>
      </c>
      <c r="Q138">
        <v>4.41594346817311E-3</v>
      </c>
    </row>
    <row r="139" spans="1:17" hidden="1">
      <c r="A139" t="s">
        <v>329</v>
      </c>
      <c r="B139" t="s">
        <v>330</v>
      </c>
      <c r="C139" t="s">
        <v>54</v>
      </c>
      <c r="D139" t="s">
        <v>157</v>
      </c>
      <c r="E139" t="s">
        <v>21</v>
      </c>
      <c r="F139" t="s">
        <v>33</v>
      </c>
      <c r="G139" s="2">
        <v>6865995.5099999998</v>
      </c>
      <c r="H139" s="2">
        <v>85.244299999999996</v>
      </c>
      <c r="I139">
        <v>5.49</v>
      </c>
      <c r="J139">
        <v>211.32</v>
      </c>
      <c r="K139">
        <v>5.8395000000000001</v>
      </c>
      <c r="L139">
        <v>14.84</v>
      </c>
      <c r="M139">
        <v>-6.5110000000000003E-3</v>
      </c>
      <c r="N139">
        <v>6.6399999999999999E-4</v>
      </c>
      <c r="O139">
        <v>5852869.8105309298</v>
      </c>
      <c r="P139">
        <v>3.8674162623910098E-3</v>
      </c>
      <c r="Q139">
        <v>3.8473647766732299E-3</v>
      </c>
    </row>
    <row r="140" spans="1:17" hidden="1">
      <c r="A140" t="s">
        <v>331</v>
      </c>
      <c r="B140" t="s">
        <v>332</v>
      </c>
      <c r="C140" t="s">
        <v>41</v>
      </c>
      <c r="D140" t="s">
        <v>72</v>
      </c>
      <c r="E140" t="s">
        <v>21</v>
      </c>
      <c r="F140" t="s">
        <v>97</v>
      </c>
      <c r="G140" s="2">
        <v>1107114.6200000001</v>
      </c>
      <c r="H140" s="2">
        <v>90.327600000000004</v>
      </c>
      <c r="I140">
        <v>9.86</v>
      </c>
      <c r="J140">
        <v>236.23</v>
      </c>
      <c r="K140">
        <v>5.3449</v>
      </c>
      <c r="L140">
        <v>14.6</v>
      </c>
      <c r="M140">
        <v>-9.5119999999999996E-3</v>
      </c>
      <c r="N140">
        <v>1.0506E-2</v>
      </c>
      <c r="O140">
        <v>1000030.06549512</v>
      </c>
      <c r="P140">
        <v>6.6079251091780903E-4</v>
      </c>
      <c r="Q140">
        <v>1.8657611554626599E-2</v>
      </c>
    </row>
    <row r="141" spans="1:17" hidden="1">
      <c r="A141" t="s">
        <v>333</v>
      </c>
      <c r="B141" t="s">
        <v>334</v>
      </c>
      <c r="C141" t="s">
        <v>19</v>
      </c>
      <c r="D141" t="s">
        <v>20</v>
      </c>
      <c r="E141" t="s">
        <v>32</v>
      </c>
      <c r="F141" t="s">
        <v>38</v>
      </c>
      <c r="G141" s="2">
        <v>5478477.2300000004</v>
      </c>
      <c r="H141" s="2">
        <v>109.08369999999999</v>
      </c>
      <c r="I141">
        <v>2.7</v>
      </c>
      <c r="J141">
        <v>281.23</v>
      </c>
      <c r="K141">
        <v>6.5864000000000003</v>
      </c>
      <c r="L141">
        <v>15.61</v>
      </c>
      <c r="M141">
        <v>-3.2299999999999999E-4</v>
      </c>
      <c r="N141">
        <v>2.12E-4</v>
      </c>
      <c r="O141">
        <v>5976125.66614151</v>
      </c>
      <c r="P141">
        <v>3.94886036004812E-3</v>
      </c>
      <c r="Q141">
        <v>8.2452650285817306E-3</v>
      </c>
    </row>
    <row r="142" spans="1:17" hidden="1">
      <c r="A142" t="s">
        <v>335</v>
      </c>
      <c r="B142" t="s">
        <v>336</v>
      </c>
      <c r="C142" t="s">
        <v>68</v>
      </c>
      <c r="D142" t="s">
        <v>102</v>
      </c>
      <c r="E142" t="s">
        <v>21</v>
      </c>
      <c r="F142" t="s">
        <v>38</v>
      </c>
      <c r="G142" s="2">
        <v>12215569.710000001</v>
      </c>
      <c r="H142" s="2">
        <v>107.105</v>
      </c>
      <c r="I142">
        <v>8.18</v>
      </c>
      <c r="J142">
        <v>196.51</v>
      </c>
      <c r="K142">
        <v>6.4734999999999996</v>
      </c>
      <c r="L142">
        <v>11.98</v>
      </c>
      <c r="M142">
        <v>-2.7700000000000001E-4</v>
      </c>
      <c r="N142">
        <v>7.7999999999999999E-4</v>
      </c>
      <c r="O142">
        <v>13083485.937895499</v>
      </c>
      <c r="P142">
        <v>8.6452096019527108E-3</v>
      </c>
      <c r="Q142">
        <v>6.7176378832682999E-3</v>
      </c>
    </row>
    <row r="143" spans="1:17" hidden="1">
      <c r="A143" t="s">
        <v>337</v>
      </c>
      <c r="B143" t="s">
        <v>338</v>
      </c>
      <c r="C143" t="s">
        <v>68</v>
      </c>
      <c r="D143" t="s">
        <v>75</v>
      </c>
      <c r="E143" t="s">
        <v>21</v>
      </c>
      <c r="F143" t="s">
        <v>97</v>
      </c>
      <c r="G143" s="2">
        <v>15390312.99</v>
      </c>
      <c r="H143" s="2">
        <v>108.71129999999999</v>
      </c>
      <c r="I143">
        <v>4.68</v>
      </c>
      <c r="J143">
        <v>176.7</v>
      </c>
      <c r="K143">
        <v>5.4417</v>
      </c>
      <c r="L143">
        <v>13.59</v>
      </c>
      <c r="M143">
        <v>8.2749999999999994E-3</v>
      </c>
      <c r="N143">
        <v>1.83E-4</v>
      </c>
      <c r="O143">
        <v>16731009.3254978</v>
      </c>
      <c r="P143">
        <v>1.10553932765124E-2</v>
      </c>
      <c r="Q143">
        <v>3.4434080468588601E-4</v>
      </c>
    </row>
    <row r="144" spans="1:17" hidden="1">
      <c r="A144" t="s">
        <v>339</v>
      </c>
      <c r="B144" t="s">
        <v>340</v>
      </c>
      <c r="C144" t="s">
        <v>19</v>
      </c>
      <c r="D144" t="s">
        <v>31</v>
      </c>
      <c r="E144" t="s">
        <v>32</v>
      </c>
      <c r="F144" t="s">
        <v>76</v>
      </c>
      <c r="G144" s="2">
        <v>10905249.66</v>
      </c>
      <c r="H144" s="2">
        <v>99.504300000000001</v>
      </c>
      <c r="I144">
        <v>1.23</v>
      </c>
      <c r="J144">
        <v>326.04000000000002</v>
      </c>
      <c r="K144">
        <v>6.9970999999999997</v>
      </c>
      <c r="L144">
        <v>8.2899999999999991</v>
      </c>
      <c r="M144">
        <v>1.1573999999999999E-2</v>
      </c>
      <c r="N144">
        <v>4.3470000000000002E-3</v>
      </c>
      <c r="O144">
        <v>10851192.3374353</v>
      </c>
      <c r="P144">
        <v>7.1701710563631098E-3</v>
      </c>
      <c r="Q144">
        <v>1.5776783429051099E-2</v>
      </c>
    </row>
    <row r="145" spans="1:17" hidden="1">
      <c r="A145" t="s">
        <v>341</v>
      </c>
      <c r="B145" t="s">
        <v>342</v>
      </c>
      <c r="C145" t="s">
        <v>68</v>
      </c>
      <c r="D145" t="s">
        <v>69</v>
      </c>
      <c r="E145" t="s">
        <v>208</v>
      </c>
      <c r="F145" t="s">
        <v>48</v>
      </c>
      <c r="G145" s="2">
        <v>11226792.84</v>
      </c>
      <c r="H145" s="2">
        <v>94.399799999999999</v>
      </c>
      <c r="I145">
        <v>1.39</v>
      </c>
      <c r="J145">
        <v>999.27</v>
      </c>
      <c r="K145">
        <v>11.475099999999999</v>
      </c>
      <c r="L145">
        <v>4.34</v>
      </c>
      <c r="M145">
        <v>-8.4159999999999999E-3</v>
      </c>
      <c r="N145">
        <v>-2.183E-3</v>
      </c>
      <c r="O145">
        <v>10598069.9873743</v>
      </c>
      <c r="P145">
        <v>7.0029147317410504E-3</v>
      </c>
      <c r="Q145">
        <v>1.6172048350148498E-2</v>
      </c>
    </row>
    <row r="146" spans="1:17" hidden="1">
      <c r="A146" t="s">
        <v>343</v>
      </c>
      <c r="B146" t="s">
        <v>344</v>
      </c>
      <c r="C146" t="s">
        <v>68</v>
      </c>
      <c r="D146" t="s">
        <v>75</v>
      </c>
      <c r="E146" t="s">
        <v>27</v>
      </c>
      <c r="F146" t="s">
        <v>76</v>
      </c>
      <c r="G146" s="2">
        <v>11357624.619999999</v>
      </c>
      <c r="H146" s="2">
        <v>89.237300000000005</v>
      </c>
      <c r="I146">
        <v>3.65</v>
      </c>
      <c r="J146">
        <v>82.56</v>
      </c>
      <c r="K146">
        <v>4.3169000000000004</v>
      </c>
      <c r="L146">
        <v>10.56</v>
      </c>
      <c r="M146">
        <v>1.885E-3</v>
      </c>
      <c r="N146">
        <v>3.0969999999999999E-3</v>
      </c>
      <c r="O146">
        <v>10135237.555023201</v>
      </c>
      <c r="P146">
        <v>6.6970877214740897E-3</v>
      </c>
      <c r="Q146">
        <v>1.0204185384011801E-2</v>
      </c>
    </row>
    <row r="147" spans="1:17" hidden="1">
      <c r="A147" t="s">
        <v>345</v>
      </c>
      <c r="B147" t="s">
        <v>346</v>
      </c>
      <c r="C147" t="s">
        <v>68</v>
      </c>
      <c r="D147" t="s">
        <v>69</v>
      </c>
      <c r="E147" t="s">
        <v>21</v>
      </c>
      <c r="F147" t="s">
        <v>33</v>
      </c>
      <c r="G147" s="2">
        <v>884355.49</v>
      </c>
      <c r="H147" s="2">
        <v>101.79730000000001</v>
      </c>
      <c r="I147">
        <v>6.93</v>
      </c>
      <c r="J147">
        <v>148.86000000000001</v>
      </c>
      <c r="K147">
        <v>5.3465999999999996</v>
      </c>
      <c r="L147">
        <v>8.26</v>
      </c>
      <c r="M147">
        <v>1.2899999999999999E-3</v>
      </c>
      <c r="N147">
        <v>-5.1199999999999998E-4</v>
      </c>
      <c r="O147">
        <v>900250.01122176996</v>
      </c>
      <c r="P147">
        <v>5.9486058059113605E-4</v>
      </c>
      <c r="Q147" s="1">
        <v>4.7508902006451098E-5</v>
      </c>
    </row>
    <row r="148" spans="1:17" hidden="1">
      <c r="A148" t="s">
        <v>347</v>
      </c>
      <c r="B148" t="s">
        <v>348</v>
      </c>
      <c r="C148" t="s">
        <v>68</v>
      </c>
      <c r="D148" t="s">
        <v>69</v>
      </c>
      <c r="E148" t="s">
        <v>32</v>
      </c>
      <c r="F148" t="s">
        <v>38</v>
      </c>
      <c r="G148" s="2">
        <v>14634117.92</v>
      </c>
      <c r="H148" s="2">
        <v>95.965199999999996</v>
      </c>
      <c r="I148">
        <v>8.0500000000000007</v>
      </c>
      <c r="J148">
        <v>258.14999999999998</v>
      </c>
      <c r="K148">
        <v>6.41</v>
      </c>
      <c r="L148">
        <v>14.32</v>
      </c>
      <c r="M148">
        <v>1.4357999999999999E-2</v>
      </c>
      <c r="N148">
        <v>7.9260000000000008E-3</v>
      </c>
      <c r="O148">
        <v>14043660.5301638</v>
      </c>
      <c r="P148">
        <v>9.2796667064302101E-3</v>
      </c>
      <c r="Q148">
        <v>3.9727263101219898E-4</v>
      </c>
    </row>
    <row r="149" spans="1:17">
      <c r="A149" t="s">
        <v>349</v>
      </c>
      <c r="B149" t="s">
        <v>350</v>
      </c>
      <c r="C149" t="s">
        <v>19</v>
      </c>
      <c r="D149" t="s">
        <v>91</v>
      </c>
      <c r="E149" t="s">
        <v>62</v>
      </c>
      <c r="F149" t="s">
        <v>48</v>
      </c>
      <c r="G149" s="2">
        <v>13369688.9</v>
      </c>
      <c r="H149" s="2">
        <v>91.448499999999996</v>
      </c>
      <c r="I149">
        <v>4.07</v>
      </c>
      <c r="J149">
        <v>56.99</v>
      </c>
      <c r="K149">
        <v>4.3773</v>
      </c>
      <c r="L149">
        <v>6.76</v>
      </c>
      <c r="M149">
        <v>2.32E-3</v>
      </c>
      <c r="N149">
        <v>9.5499999999999995E-3</v>
      </c>
      <c r="O149">
        <v>12226379.9537165</v>
      </c>
      <c r="P149">
        <v>8.0788574142033297E-3</v>
      </c>
      <c r="Q149">
        <v>1.7186451927456801E-3</v>
      </c>
    </row>
    <row r="150" spans="1:17" hidden="1">
      <c r="A150" t="s">
        <v>351</v>
      </c>
      <c r="B150" t="s">
        <v>352</v>
      </c>
      <c r="C150" t="s">
        <v>54</v>
      </c>
      <c r="D150" t="s">
        <v>157</v>
      </c>
      <c r="E150" t="s">
        <v>21</v>
      </c>
      <c r="F150" t="s">
        <v>97</v>
      </c>
      <c r="G150" s="2">
        <v>11531773.300000001</v>
      </c>
      <c r="H150" s="2">
        <v>101.9504</v>
      </c>
      <c r="I150">
        <v>5.33</v>
      </c>
      <c r="J150">
        <v>227.21</v>
      </c>
      <c r="K150">
        <v>5.5217000000000001</v>
      </c>
      <c r="L150">
        <v>14.43</v>
      </c>
      <c r="M150">
        <v>5.1710000000000002E-3</v>
      </c>
      <c r="N150">
        <v>-2.1150000000000001E-3</v>
      </c>
      <c r="O150">
        <v>11756689.006443201</v>
      </c>
      <c r="P150">
        <v>7.7684984848941097E-3</v>
      </c>
      <c r="Q150">
        <v>9.4838527764066496E-4</v>
      </c>
    </row>
    <row r="151" spans="1:17" hidden="1">
      <c r="A151" t="s">
        <v>353</v>
      </c>
      <c r="B151" t="s">
        <v>354</v>
      </c>
      <c r="C151" t="s">
        <v>36</v>
      </c>
      <c r="D151" t="s">
        <v>79</v>
      </c>
      <c r="E151" t="s">
        <v>21</v>
      </c>
      <c r="F151" t="s">
        <v>28</v>
      </c>
      <c r="G151" s="2">
        <v>17272386.75</v>
      </c>
      <c r="H151" s="2">
        <v>102.3745</v>
      </c>
      <c r="I151">
        <v>4.53</v>
      </c>
      <c r="J151">
        <v>198</v>
      </c>
      <c r="K151">
        <v>5.4375</v>
      </c>
      <c r="L151">
        <v>12.48</v>
      </c>
      <c r="M151">
        <v>-7.2360000000000002E-3</v>
      </c>
      <c r="N151" s="1">
        <v>6.6000000000000005E-5</v>
      </c>
      <c r="O151">
        <v>17682519.573378701</v>
      </c>
      <c r="P151">
        <v>1.16841252192364E-2</v>
      </c>
      <c r="Q151">
        <v>3.4273607893386101E-3</v>
      </c>
    </row>
    <row r="155" spans="1:17">
      <c r="P155" s="4"/>
    </row>
  </sheetData>
  <autoFilter ref="A1:Q151" xr:uid="{EF7692C1-1883-4C4C-B9E4-09ECAF4BC085}">
    <filterColumn colId="4">
      <filters>
        <filter val="AAA"/>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26409-FFB3-9241-AA40-719DF4A20F74}">
  <dimension ref="A2:I110"/>
  <sheetViews>
    <sheetView tabSelected="1" topLeftCell="A83" zoomScale="125" workbookViewId="0">
      <selection activeCell="E96" sqref="E96"/>
    </sheetView>
  </sheetViews>
  <sheetFormatPr baseColWidth="10" defaultRowHeight="21"/>
  <cols>
    <col min="1" max="1" width="21.5" style="10" bestFit="1" customWidth="1"/>
    <col min="2" max="2" width="32.6640625" style="5" customWidth="1"/>
    <col min="3" max="3" width="40.33203125" style="5" bestFit="1" customWidth="1"/>
    <col min="4" max="4" width="19.1640625" style="5" customWidth="1"/>
    <col min="5" max="5" width="29.6640625" style="5" customWidth="1"/>
    <col min="6" max="6" width="27" style="5" bestFit="1" customWidth="1"/>
    <col min="7" max="7" width="48.6640625" style="5" bestFit="1" customWidth="1"/>
    <col min="8" max="8" width="10.83203125" style="5"/>
    <col min="9" max="16384" width="10.83203125" style="3"/>
  </cols>
  <sheetData>
    <row r="2" spans="1:9">
      <c r="B2" s="6"/>
      <c r="C2" s="6"/>
      <c r="D2" s="6"/>
      <c r="E2" s="6"/>
      <c r="F2" s="6"/>
      <c r="G2" s="6"/>
      <c r="H2" s="6"/>
    </row>
    <row r="3" spans="1:9">
      <c r="B3" s="6" t="s">
        <v>355</v>
      </c>
      <c r="C3" s="6"/>
      <c r="D3" s="6"/>
      <c r="E3" s="6"/>
      <c r="F3" s="6"/>
      <c r="G3" s="6"/>
      <c r="H3" s="6"/>
    </row>
    <row r="4" spans="1:9">
      <c r="B4" s="6">
        <v>1.3632E-2</v>
      </c>
      <c r="C4" s="6">
        <v>8.7900000000000001E-4</v>
      </c>
      <c r="D4" s="9">
        <f>B4-C4</f>
        <v>1.2753E-2</v>
      </c>
      <c r="E4" s="6"/>
      <c r="F4" s="6"/>
      <c r="G4" s="6"/>
      <c r="H4" s="6"/>
    </row>
    <row r="5" spans="1:9">
      <c r="B5" s="6"/>
      <c r="C5" s="6"/>
      <c r="D5" s="6"/>
      <c r="E5" s="6"/>
      <c r="F5" s="6"/>
      <c r="G5" s="6"/>
      <c r="H5" s="6"/>
    </row>
    <row r="6" spans="1:9">
      <c r="B6" s="6" t="s">
        <v>356</v>
      </c>
      <c r="C6" s="6"/>
      <c r="D6" s="6"/>
      <c r="E6" s="6"/>
      <c r="F6" s="6"/>
      <c r="G6" s="6"/>
      <c r="H6" s="6"/>
    </row>
    <row r="7" spans="1:9">
      <c r="B7" s="6" t="s">
        <v>382</v>
      </c>
      <c r="C7" s="6"/>
      <c r="D7" s="6"/>
      <c r="E7" s="6"/>
      <c r="F7" s="6"/>
      <c r="G7" s="6"/>
      <c r="H7" s="6"/>
    </row>
    <row r="8" spans="1:9">
      <c r="B8" s="6" t="s">
        <v>383</v>
      </c>
      <c r="C8" s="6"/>
      <c r="D8" s="6"/>
      <c r="E8" s="6"/>
      <c r="F8" s="6"/>
      <c r="G8" s="6"/>
      <c r="H8" s="6"/>
    </row>
    <row r="9" spans="1:9">
      <c r="B9" s="6" t="s">
        <v>357</v>
      </c>
      <c r="C9" s="6"/>
      <c r="D9" s="6"/>
      <c r="E9" s="6"/>
      <c r="F9" s="6"/>
      <c r="G9" s="6"/>
      <c r="H9" s="6"/>
    </row>
    <row r="10" spans="1:9">
      <c r="B10" s="6" t="s">
        <v>384</v>
      </c>
      <c r="C10" s="6"/>
      <c r="D10" s="6"/>
      <c r="E10" s="6"/>
      <c r="F10" s="6"/>
      <c r="G10" s="6"/>
      <c r="H10" s="6"/>
    </row>
    <row r="11" spans="1:9">
      <c r="B11" s="6"/>
      <c r="C11" s="6"/>
      <c r="D11" s="6"/>
      <c r="E11" s="6"/>
      <c r="F11" s="6"/>
      <c r="G11" s="6"/>
      <c r="H11" s="6"/>
    </row>
    <row r="12" spans="1:9">
      <c r="A12" s="10" t="s">
        <v>414</v>
      </c>
      <c r="B12" s="7" t="s">
        <v>358</v>
      </c>
      <c r="C12" s="7" t="s">
        <v>359</v>
      </c>
      <c r="D12" s="7" t="s">
        <v>360</v>
      </c>
      <c r="E12" s="7"/>
      <c r="F12" s="7" t="s">
        <v>403</v>
      </c>
      <c r="G12" s="7" t="s">
        <v>404</v>
      </c>
      <c r="H12" s="7"/>
      <c r="I12" s="7"/>
    </row>
    <row r="13" spans="1:9">
      <c r="B13" t="s">
        <v>361</v>
      </c>
      <c r="C13" s="8" t="s">
        <v>362</v>
      </c>
      <c r="D13" s="8" t="s">
        <v>363</v>
      </c>
      <c r="F13" t="s">
        <v>405</v>
      </c>
      <c r="G13" t="s">
        <v>406</v>
      </c>
    </row>
    <row r="14" spans="1:9">
      <c r="B14" t="s">
        <v>364</v>
      </c>
      <c r="C14" s="8" t="s">
        <v>365</v>
      </c>
      <c r="D14" s="8" t="s">
        <v>366</v>
      </c>
      <c r="F14" t="s">
        <v>407</v>
      </c>
      <c r="G14" t="s">
        <v>408</v>
      </c>
    </row>
    <row r="15" spans="1:9">
      <c r="B15" t="s">
        <v>367</v>
      </c>
      <c r="C15" s="8" t="s">
        <v>368</v>
      </c>
      <c r="D15" s="8" t="s">
        <v>369</v>
      </c>
      <c r="F15" t="s">
        <v>409</v>
      </c>
      <c r="G15" t="s">
        <v>410</v>
      </c>
    </row>
    <row r="16" spans="1:9">
      <c r="B16" t="s">
        <v>370</v>
      </c>
      <c r="C16" s="8" t="s">
        <v>371</v>
      </c>
      <c r="D16" s="8" t="s">
        <v>372</v>
      </c>
      <c r="F16" t="s">
        <v>411</v>
      </c>
      <c r="G16" t="s">
        <v>412</v>
      </c>
    </row>
    <row r="17" spans="1:7">
      <c r="B17" t="s">
        <v>373</v>
      </c>
      <c r="C17" s="8" t="s">
        <v>374</v>
      </c>
      <c r="D17" s="8" t="s">
        <v>375</v>
      </c>
    </row>
    <row r="18" spans="1:7">
      <c r="B18" t="s">
        <v>376</v>
      </c>
      <c r="C18" s="8" t="s">
        <v>377</v>
      </c>
      <c r="D18" s="8" t="s">
        <v>378</v>
      </c>
    </row>
    <row r="19" spans="1:7">
      <c r="B19" t="s">
        <v>379</v>
      </c>
      <c r="C19" s="8" t="s">
        <v>380</v>
      </c>
      <c r="D19" s="8" t="s">
        <v>381</v>
      </c>
    </row>
    <row r="20" spans="1:7">
      <c r="B20"/>
      <c r="C20" s="8"/>
      <c r="D20" s="8"/>
    </row>
    <row r="21" spans="1:7" customFormat="1" ht="50" customHeight="1">
      <c r="A21" s="10" t="s">
        <v>415</v>
      </c>
      <c r="B21" s="12" t="s">
        <v>413</v>
      </c>
      <c r="C21" s="12"/>
      <c r="D21" s="12"/>
    </row>
    <row r="22" spans="1:7">
      <c r="B22" s="7" t="s">
        <v>385</v>
      </c>
      <c r="C22" s="7" t="s">
        <v>386</v>
      </c>
      <c r="D22" s="7" t="s">
        <v>387</v>
      </c>
      <c r="E22" s="7" t="s">
        <v>388</v>
      </c>
      <c r="G22" s="7" t="s">
        <v>416</v>
      </c>
    </row>
    <row r="23" spans="1:7">
      <c r="B23" t="s">
        <v>389</v>
      </c>
      <c r="C23" s="8" t="s">
        <v>390</v>
      </c>
      <c r="D23" s="8" t="s">
        <v>391</v>
      </c>
      <c r="E23" s="8" t="s">
        <v>392</v>
      </c>
      <c r="G23" t="s">
        <v>417</v>
      </c>
    </row>
    <row r="24" spans="1:7">
      <c r="B24" t="s">
        <v>393</v>
      </c>
      <c r="C24" s="8" t="s">
        <v>394</v>
      </c>
      <c r="D24" s="8" t="s">
        <v>391</v>
      </c>
      <c r="E24" s="8" t="s">
        <v>395</v>
      </c>
      <c r="G24" t="s">
        <v>418</v>
      </c>
    </row>
    <row r="25" spans="1:7">
      <c r="B25" t="s">
        <v>396</v>
      </c>
      <c r="C25" s="8" t="s">
        <v>397</v>
      </c>
      <c r="D25" s="8" t="s">
        <v>398</v>
      </c>
      <c r="E25" s="8" t="s">
        <v>399</v>
      </c>
      <c r="G25" t="s">
        <v>419</v>
      </c>
    </row>
    <row r="26" spans="1:7">
      <c r="B26" t="s">
        <v>400</v>
      </c>
      <c r="C26" s="8" t="s">
        <v>401</v>
      </c>
      <c r="D26" s="8" t="s">
        <v>402</v>
      </c>
      <c r="E26" s="8" t="s">
        <v>395</v>
      </c>
      <c r="G26" t="s">
        <v>420</v>
      </c>
    </row>
    <row r="27" spans="1:7">
      <c r="B27" s="7"/>
      <c r="C27" s="7"/>
      <c r="D27" s="7"/>
      <c r="E27" s="7"/>
      <c r="F27" s="8"/>
    </row>
    <row r="28" spans="1:7">
      <c r="B28" s="7" t="s">
        <v>421</v>
      </c>
      <c r="D28" s="7"/>
      <c r="E28" s="7"/>
      <c r="F28" s="8"/>
    </row>
    <row r="29" spans="1:7">
      <c r="B29" t="s">
        <v>421</v>
      </c>
      <c r="D29" s="8"/>
      <c r="E29" s="8"/>
      <c r="F29" s="8"/>
    </row>
    <row r="30" spans="1:7">
      <c r="B30" t="s">
        <v>422</v>
      </c>
      <c r="D30" s="8"/>
      <c r="E30" s="8"/>
      <c r="F30" s="8"/>
    </row>
    <row r="31" spans="1:7">
      <c r="B31" t="s">
        <v>423</v>
      </c>
      <c r="D31" s="8"/>
      <c r="E31" s="8"/>
      <c r="F31" s="8"/>
    </row>
    <row r="32" spans="1:7">
      <c r="B32" t="s">
        <v>424</v>
      </c>
    </row>
    <row r="34" spans="1:2">
      <c r="A34" s="10" t="s">
        <v>447</v>
      </c>
      <c r="B34" s="5" t="s">
        <v>425</v>
      </c>
    </row>
    <row r="35" spans="1:2">
      <c r="B35" s="5" t="s">
        <v>426</v>
      </c>
    </row>
    <row r="36" spans="1:2">
      <c r="B36" s="5" t="s">
        <v>427</v>
      </c>
    </row>
    <row r="37" spans="1:2">
      <c r="B37" s="5" t="s">
        <v>428</v>
      </c>
    </row>
    <row r="39" spans="1:2" ht="25">
      <c r="B39" s="11" t="s">
        <v>429</v>
      </c>
    </row>
    <row r="40" spans="1:2">
      <c r="B40" s="5" t="s">
        <v>430</v>
      </c>
    </row>
    <row r="41" spans="1:2">
      <c r="B41" s="5" t="s">
        <v>431</v>
      </c>
    </row>
    <row r="42" spans="1:2">
      <c r="B42" s="5" t="s">
        <v>432</v>
      </c>
    </row>
    <row r="43" spans="1:2">
      <c r="B43" s="5" t="s">
        <v>433</v>
      </c>
    </row>
    <row r="44" spans="1:2">
      <c r="B44" s="5" t="s">
        <v>434</v>
      </c>
    </row>
    <row r="45" spans="1:2">
      <c r="B45" s="5" t="s">
        <v>435</v>
      </c>
    </row>
    <row r="47" spans="1:2">
      <c r="B47" s="5" t="s">
        <v>436</v>
      </c>
    </row>
    <row r="48" spans="1:2">
      <c r="B48" s="5" t="s">
        <v>437</v>
      </c>
    </row>
    <row r="49" spans="2:5">
      <c r="B49" s="5" t="s">
        <v>438</v>
      </c>
    </row>
    <row r="50" spans="2:5">
      <c r="B50" s="5" t="s">
        <v>439</v>
      </c>
    </row>
    <row r="51" spans="2:5">
      <c r="B51" s="5" t="s">
        <v>440</v>
      </c>
    </row>
    <row r="52" spans="2:5">
      <c r="B52" s="5" t="s">
        <v>441</v>
      </c>
    </row>
    <row r="54" spans="2:5">
      <c r="B54" s="5" t="s">
        <v>442</v>
      </c>
    </row>
    <row r="55" spans="2:5">
      <c r="B55" s="5" t="s">
        <v>443</v>
      </c>
    </row>
    <row r="56" spans="2:5">
      <c r="B56" s="5" t="s">
        <v>444</v>
      </c>
    </row>
    <row r="57" spans="2:5">
      <c r="B57" s="5" t="s">
        <v>445</v>
      </c>
    </row>
    <row r="58" spans="2:5">
      <c r="B58" s="5" t="s">
        <v>446</v>
      </c>
    </row>
    <row r="60" spans="2:5">
      <c r="B60" s="14" t="s">
        <v>448</v>
      </c>
      <c r="C60" s="14" t="s">
        <v>449</v>
      </c>
      <c r="D60" s="14" t="s">
        <v>450</v>
      </c>
      <c r="E60" s="13"/>
    </row>
    <row r="61" spans="2:5">
      <c r="B61" s="13" t="s">
        <v>0</v>
      </c>
      <c r="C61" t="s">
        <v>451</v>
      </c>
      <c r="D61" t="s">
        <v>452</v>
      </c>
      <c r="E61"/>
    </row>
    <row r="62" spans="2:5">
      <c r="B62" s="13" t="s">
        <v>1</v>
      </c>
      <c r="C62" t="s">
        <v>453</v>
      </c>
      <c r="D62" t="s">
        <v>454</v>
      </c>
      <c r="E62"/>
    </row>
    <row r="63" spans="2:5">
      <c r="B63" s="13" t="s">
        <v>2</v>
      </c>
      <c r="C63" t="s">
        <v>455</v>
      </c>
      <c r="D63" t="s">
        <v>456</v>
      </c>
      <c r="E63"/>
    </row>
    <row r="64" spans="2:5">
      <c r="B64" s="13" t="s">
        <v>3</v>
      </c>
      <c r="C64" t="s">
        <v>457</v>
      </c>
      <c r="D64" t="s">
        <v>458</v>
      </c>
      <c r="E64"/>
    </row>
    <row r="65" spans="2:5">
      <c r="B65" s="13" t="s">
        <v>4</v>
      </c>
      <c r="C65" t="s">
        <v>459</v>
      </c>
      <c r="D65" t="s">
        <v>460</v>
      </c>
      <c r="E65"/>
    </row>
    <row r="66" spans="2:5">
      <c r="B66" s="13" t="s">
        <v>5</v>
      </c>
      <c r="C66" t="s">
        <v>461</v>
      </c>
      <c r="D66" t="s">
        <v>462</v>
      </c>
      <c r="E66"/>
    </row>
    <row r="67" spans="2:5">
      <c r="B67" s="13" t="s">
        <v>6</v>
      </c>
      <c r="C67" t="s">
        <v>463</v>
      </c>
      <c r="D67" t="s">
        <v>464</v>
      </c>
      <c r="E67"/>
    </row>
    <row r="68" spans="2:5">
      <c r="B68" s="13" t="s">
        <v>7</v>
      </c>
      <c r="C68" t="s">
        <v>465</v>
      </c>
      <c r="D68" t="s">
        <v>466</v>
      </c>
      <c r="E68"/>
    </row>
    <row r="69" spans="2:5">
      <c r="B69" s="13" t="s">
        <v>8</v>
      </c>
      <c r="C69" t="s">
        <v>467</v>
      </c>
      <c r="D69" t="s">
        <v>468</v>
      </c>
      <c r="E69"/>
    </row>
    <row r="70" spans="2:5">
      <c r="B70" s="13" t="s">
        <v>9</v>
      </c>
      <c r="C70" t="s">
        <v>469</v>
      </c>
      <c r="D70" t="s">
        <v>470</v>
      </c>
      <c r="E70"/>
    </row>
    <row r="71" spans="2:5">
      <c r="B71" s="13" t="s">
        <v>10</v>
      </c>
      <c r="C71" t="s">
        <v>471</v>
      </c>
      <c r="D71" t="s">
        <v>472</v>
      </c>
      <c r="E71"/>
    </row>
    <row r="72" spans="2:5">
      <c r="B72" s="13" t="s">
        <v>11</v>
      </c>
      <c r="C72" t="s">
        <v>473</v>
      </c>
      <c r="D72" t="s">
        <v>474</v>
      </c>
      <c r="E72"/>
    </row>
    <row r="73" spans="2:5">
      <c r="B73" s="13" t="s">
        <v>12</v>
      </c>
      <c r="C73" t="s">
        <v>475</v>
      </c>
      <c r="D73" t="s">
        <v>476</v>
      </c>
      <c r="E73"/>
    </row>
    <row r="74" spans="2:5">
      <c r="B74" s="13" t="s">
        <v>13</v>
      </c>
      <c r="C74" t="s">
        <v>477</v>
      </c>
      <c r="D74" t="s">
        <v>478</v>
      </c>
      <c r="E74"/>
    </row>
    <row r="75" spans="2:5">
      <c r="B75" s="13" t="s">
        <v>14</v>
      </c>
      <c r="C75" t="s">
        <v>479</v>
      </c>
      <c r="D75" t="s">
        <v>480</v>
      </c>
      <c r="E75"/>
    </row>
    <row r="76" spans="2:5">
      <c r="B76" s="13" t="s">
        <v>15</v>
      </c>
      <c r="C76" t="s">
        <v>481</v>
      </c>
      <c r="D76" t="s">
        <v>482</v>
      </c>
      <c r="E76"/>
    </row>
    <row r="77" spans="2:5">
      <c r="B77" s="13" t="s">
        <v>16</v>
      </c>
      <c r="C77" t="s">
        <v>483</v>
      </c>
      <c r="D77" t="s">
        <v>484</v>
      </c>
      <c r="E77"/>
    </row>
    <row r="79" spans="2:5">
      <c r="B79" s="14" t="s">
        <v>485</v>
      </c>
      <c r="C79" s="14" t="s">
        <v>360</v>
      </c>
      <c r="D79" s="14" t="s">
        <v>486</v>
      </c>
    </row>
    <row r="80" spans="2:5">
      <c r="B80" s="13" t="s">
        <v>487</v>
      </c>
      <c r="C80" t="s">
        <v>488</v>
      </c>
      <c r="D80" t="s">
        <v>489</v>
      </c>
    </row>
    <row r="81" spans="2:4">
      <c r="B81" s="13" t="s">
        <v>490</v>
      </c>
      <c r="C81" t="s">
        <v>491</v>
      </c>
      <c r="D81" t="s">
        <v>492</v>
      </c>
    </row>
    <row r="82" spans="2:4">
      <c r="B82" s="13" t="s">
        <v>493</v>
      </c>
      <c r="C82" t="s">
        <v>494</v>
      </c>
      <c r="D82" t="s">
        <v>495</v>
      </c>
    </row>
    <row r="83" spans="2:4">
      <c r="B83" s="13" t="s">
        <v>496</v>
      </c>
      <c r="C83" t="s">
        <v>497</v>
      </c>
      <c r="D83" t="s">
        <v>498</v>
      </c>
    </row>
    <row r="84" spans="2:4">
      <c r="B84" s="13" t="s">
        <v>499</v>
      </c>
      <c r="C84" t="s">
        <v>500</v>
      </c>
      <c r="D84" t="s">
        <v>501</v>
      </c>
    </row>
    <row r="85" spans="2:4">
      <c r="B85" s="13" t="s">
        <v>502</v>
      </c>
      <c r="C85" t="s">
        <v>503</v>
      </c>
      <c r="D85" t="s">
        <v>504</v>
      </c>
    </row>
    <row r="86" spans="2:4">
      <c r="B86" s="13" t="s">
        <v>505</v>
      </c>
      <c r="C86" t="s">
        <v>506</v>
      </c>
      <c r="D86" t="s">
        <v>507</v>
      </c>
    </row>
    <row r="87" spans="2:4">
      <c r="B87" s="13" t="s">
        <v>508</v>
      </c>
      <c r="C87" t="s">
        <v>509</v>
      </c>
      <c r="D87" t="s">
        <v>510</v>
      </c>
    </row>
    <row r="89" spans="2:4">
      <c r="B89" s="14" t="s">
        <v>511</v>
      </c>
      <c r="C89" s="14" t="s">
        <v>512</v>
      </c>
    </row>
    <row r="90" spans="2:4">
      <c r="B90" s="15" t="s">
        <v>513</v>
      </c>
      <c r="C90" t="s">
        <v>514</v>
      </c>
    </row>
    <row r="91" spans="2:4">
      <c r="B91" s="15" t="s">
        <v>515</v>
      </c>
      <c r="C91" t="s">
        <v>516</v>
      </c>
    </row>
    <row r="92" spans="2:4">
      <c r="B92" s="15" t="s">
        <v>517</v>
      </c>
      <c r="C92" t="s">
        <v>518</v>
      </c>
    </row>
    <row r="93" spans="2:4">
      <c r="B93" s="15" t="s">
        <v>519</v>
      </c>
      <c r="C93" t="s">
        <v>520</v>
      </c>
    </row>
    <row r="94" spans="2:4">
      <c r="B94" s="15" t="s">
        <v>521</v>
      </c>
      <c r="C94" t="s">
        <v>522</v>
      </c>
    </row>
    <row r="95" spans="2:4">
      <c r="B95" s="15" t="s">
        <v>523</v>
      </c>
      <c r="C95" t="s">
        <v>524</v>
      </c>
    </row>
    <row r="96" spans="2:4">
      <c r="B96" s="15" t="s">
        <v>525</v>
      </c>
      <c r="C96" t="s">
        <v>526</v>
      </c>
    </row>
    <row r="98" spans="2:6" ht="95" customHeight="1">
      <c r="B98" s="12" t="s">
        <v>527</v>
      </c>
      <c r="C98" s="12"/>
      <c r="D98" s="12"/>
    </row>
    <row r="100" spans="2:6">
      <c r="B100" s="14" t="s">
        <v>528</v>
      </c>
      <c r="C100" s="14" t="s">
        <v>529</v>
      </c>
      <c r="D100" s="14" t="s">
        <v>538</v>
      </c>
      <c r="E100" s="14" t="s">
        <v>360</v>
      </c>
      <c r="F100" s="14" t="s">
        <v>539</v>
      </c>
    </row>
    <row r="101" spans="2:6">
      <c r="B101" s="15" t="s">
        <v>530</v>
      </c>
      <c r="C101" t="s">
        <v>531</v>
      </c>
      <c r="D101" t="s">
        <v>540</v>
      </c>
      <c r="E101" t="s">
        <v>541</v>
      </c>
      <c r="F101" t="s">
        <v>542</v>
      </c>
    </row>
    <row r="102" spans="2:6">
      <c r="B102" s="15" t="s">
        <v>532</v>
      </c>
      <c r="C102" t="s">
        <v>533</v>
      </c>
      <c r="D102" t="s">
        <v>543</v>
      </c>
      <c r="E102" t="s">
        <v>544</v>
      </c>
      <c r="F102" t="s">
        <v>545</v>
      </c>
    </row>
    <row r="103" spans="2:6">
      <c r="B103" s="15" t="s">
        <v>534</v>
      </c>
      <c r="C103" t="s">
        <v>535</v>
      </c>
      <c r="D103" t="s">
        <v>546</v>
      </c>
      <c r="E103" t="s">
        <v>547</v>
      </c>
      <c r="F103" t="s">
        <v>548</v>
      </c>
    </row>
    <row r="104" spans="2:6">
      <c r="B104" s="15" t="s">
        <v>536</v>
      </c>
      <c r="C104" t="s">
        <v>537</v>
      </c>
      <c r="D104" t="s">
        <v>549</v>
      </c>
      <c r="E104" t="s">
        <v>550</v>
      </c>
      <c r="F104" t="s">
        <v>551</v>
      </c>
    </row>
    <row r="105" spans="2:6">
      <c r="D105" t="s">
        <v>552</v>
      </c>
      <c r="E105" t="s">
        <v>553</v>
      </c>
      <c r="F105" t="s">
        <v>554</v>
      </c>
    </row>
    <row r="106" spans="2:6">
      <c r="D106" t="s">
        <v>555</v>
      </c>
      <c r="E106" t="s">
        <v>556</v>
      </c>
      <c r="F106" t="s">
        <v>557</v>
      </c>
    </row>
    <row r="107" spans="2:6">
      <c r="D107" t="s">
        <v>558</v>
      </c>
      <c r="E107" t="s">
        <v>559</v>
      </c>
      <c r="F107" t="s">
        <v>560</v>
      </c>
    </row>
    <row r="108" spans="2:6">
      <c r="D108" t="s">
        <v>561</v>
      </c>
      <c r="E108" t="s">
        <v>562</v>
      </c>
      <c r="F108" t="s">
        <v>563</v>
      </c>
    </row>
    <row r="110" spans="2:6" ht="97" customHeight="1">
      <c r="D110" s="12" t="s">
        <v>564</v>
      </c>
      <c r="E110" s="12"/>
      <c r="F110" s="12"/>
    </row>
  </sheetData>
  <mergeCells count="3">
    <mergeCell ref="B21:D21"/>
    <mergeCell ref="B98:D98"/>
    <mergeCell ref="D110:F1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credit_portfolio_150_bonds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Kumar Jena</dc:creator>
  <cp:lastModifiedBy>Krishna Kumar Jena</cp:lastModifiedBy>
  <dcterms:created xsi:type="dcterms:W3CDTF">2026-06-21T01:40:36Z</dcterms:created>
  <dcterms:modified xsi:type="dcterms:W3CDTF">2026-06-22T10:36:19Z</dcterms:modified>
</cp:coreProperties>
</file>